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974_psu_edu/Documents/Proteomics/"/>
    </mc:Choice>
  </mc:AlternateContent>
  <xr:revisionPtr revIDLastSave="329" documentId="8_{76EC6D60-E8D0-0741-99F5-869B192F0881}" xr6:coauthVersionLast="47" xr6:coauthVersionMax="47" xr10:uidLastSave="{70FE511D-BE3A-8846-926A-A044C380C60A}"/>
  <bookViews>
    <workbookView xWindow="0" yWindow="880" windowWidth="34200" windowHeight="20640" xr2:uid="{B45DE5CC-39CD-B34A-8AB3-926423C87F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S43" i="1"/>
  <c r="R43" i="1"/>
  <c r="N43" i="1"/>
  <c r="M43" i="1"/>
  <c r="A43" i="1"/>
  <c r="S42" i="1"/>
  <c r="R42" i="1"/>
  <c r="N42" i="1"/>
  <c r="M42" i="1"/>
  <c r="A42" i="1"/>
  <c r="S41" i="1"/>
  <c r="R41" i="1"/>
  <c r="N41" i="1"/>
  <c r="M41" i="1"/>
  <c r="A41" i="1"/>
  <c r="S40" i="1"/>
  <c r="R40" i="1"/>
  <c r="N40" i="1"/>
  <c r="M40" i="1"/>
  <c r="A40" i="1"/>
  <c r="S39" i="1"/>
  <c r="R39" i="1"/>
  <c r="N39" i="1"/>
  <c r="M39" i="1"/>
  <c r="A39" i="1"/>
  <c r="S38" i="1"/>
  <c r="R38" i="1"/>
  <c r="N38" i="1"/>
  <c r="M38" i="1"/>
  <c r="A38" i="1"/>
  <c r="S37" i="1"/>
  <c r="R37" i="1"/>
  <c r="N37" i="1"/>
  <c r="M37" i="1"/>
  <c r="A37" i="1"/>
  <c r="S36" i="1"/>
  <c r="R36" i="1"/>
  <c r="N36" i="1"/>
  <c r="M36" i="1"/>
  <c r="A36" i="1"/>
  <c r="S35" i="1"/>
  <c r="R35" i="1"/>
  <c r="N35" i="1"/>
  <c r="M35" i="1"/>
  <c r="A35" i="1"/>
  <c r="S34" i="1"/>
  <c r="R34" i="1"/>
  <c r="N34" i="1"/>
  <c r="M34" i="1"/>
  <c r="A34" i="1"/>
  <c r="S33" i="1"/>
  <c r="R33" i="1"/>
  <c r="N33" i="1"/>
  <c r="M33" i="1"/>
  <c r="A33" i="1"/>
  <c r="S32" i="1"/>
  <c r="R32" i="1"/>
  <c r="N32" i="1"/>
  <c r="M32" i="1"/>
  <c r="A32" i="1"/>
  <c r="S31" i="1"/>
  <c r="R31" i="1"/>
  <c r="N31" i="1"/>
  <c r="M31" i="1"/>
  <c r="A31" i="1"/>
  <c r="S30" i="1"/>
  <c r="R30" i="1"/>
  <c r="N30" i="1"/>
  <c r="M30" i="1"/>
  <c r="A30" i="1"/>
  <c r="S29" i="1"/>
  <c r="R29" i="1"/>
  <c r="N29" i="1"/>
  <c r="M29" i="1"/>
  <c r="A29" i="1"/>
  <c r="S28" i="1"/>
  <c r="R28" i="1"/>
  <c r="N28" i="1"/>
  <c r="M28" i="1"/>
  <c r="A28" i="1"/>
  <c r="S27" i="1"/>
  <c r="R27" i="1"/>
  <c r="N27" i="1"/>
  <c r="M27" i="1"/>
  <c r="A27" i="1"/>
  <c r="S26" i="1"/>
  <c r="R26" i="1"/>
  <c r="N26" i="1"/>
  <c r="M26" i="1"/>
  <c r="A26" i="1"/>
  <c r="S25" i="1"/>
  <c r="R25" i="1"/>
  <c r="N25" i="1"/>
  <c r="M25" i="1"/>
  <c r="U25" i="1" s="1"/>
  <c r="A25" i="1"/>
  <c r="A24" i="1"/>
  <c r="A23" i="1"/>
  <c r="A22" i="1"/>
  <c r="A21" i="1"/>
  <c r="S20" i="1"/>
  <c r="R20" i="1"/>
  <c r="N20" i="1"/>
  <c r="M20" i="1"/>
  <c r="A20" i="1"/>
  <c r="S19" i="1"/>
  <c r="R19" i="1"/>
  <c r="N19" i="1"/>
  <c r="M19" i="1"/>
  <c r="A19" i="1"/>
  <c r="S18" i="1"/>
  <c r="R18" i="1"/>
  <c r="N18" i="1"/>
  <c r="M18" i="1"/>
  <c r="A18" i="1"/>
  <c r="S17" i="1"/>
  <c r="R17" i="1"/>
  <c r="N17" i="1"/>
  <c r="M17" i="1"/>
  <c r="A17" i="1"/>
  <c r="S16" i="1"/>
  <c r="R16" i="1"/>
  <c r="N16" i="1"/>
  <c r="M16" i="1"/>
  <c r="A16" i="1"/>
  <c r="S15" i="1"/>
  <c r="R15" i="1"/>
  <c r="N15" i="1"/>
  <c r="M15" i="1"/>
  <c r="A15" i="1"/>
  <c r="S14" i="1"/>
  <c r="R14" i="1"/>
  <c r="N14" i="1"/>
  <c r="M14" i="1"/>
  <c r="A14" i="1"/>
  <c r="S13" i="1"/>
  <c r="R13" i="1"/>
  <c r="N13" i="1"/>
  <c r="M13" i="1"/>
  <c r="A13" i="1"/>
  <c r="S12" i="1"/>
  <c r="R12" i="1"/>
  <c r="N12" i="1"/>
  <c r="M12" i="1"/>
  <c r="A12" i="1"/>
  <c r="S11" i="1"/>
  <c r="R11" i="1"/>
  <c r="N11" i="1"/>
  <c r="M11" i="1"/>
  <c r="A11" i="1"/>
  <c r="S10" i="1"/>
  <c r="R10" i="1"/>
  <c r="N10" i="1"/>
  <c r="M10" i="1"/>
  <c r="A10" i="1"/>
  <c r="S9" i="1"/>
  <c r="R9" i="1"/>
  <c r="N9" i="1"/>
  <c r="M9" i="1"/>
  <c r="A9" i="1"/>
  <c r="S8" i="1"/>
  <c r="R8" i="1"/>
  <c r="N8" i="1"/>
  <c r="M8" i="1"/>
  <c r="A8" i="1"/>
  <c r="S7" i="1"/>
  <c r="R7" i="1"/>
  <c r="N7" i="1"/>
  <c r="M7" i="1"/>
  <c r="A7" i="1"/>
  <c r="S6" i="1"/>
  <c r="R6" i="1"/>
  <c r="N6" i="1"/>
  <c r="M6" i="1"/>
  <c r="A6" i="1"/>
  <c r="S5" i="1"/>
  <c r="R5" i="1"/>
  <c r="N5" i="1"/>
  <c r="M5" i="1"/>
  <c r="A5" i="1"/>
  <c r="S4" i="1"/>
  <c r="R4" i="1"/>
  <c r="N4" i="1"/>
  <c r="M4" i="1"/>
  <c r="A4" i="1"/>
  <c r="S3" i="1"/>
  <c r="R3" i="1"/>
  <c r="N3" i="1"/>
  <c r="M3" i="1"/>
  <c r="A3" i="1"/>
  <c r="S2" i="1"/>
  <c r="T2" i="1" s="1"/>
  <c r="R2" i="1"/>
  <c r="N2" i="1"/>
  <c r="M2" i="1"/>
  <c r="T14" i="1" l="1"/>
  <c r="T36" i="1"/>
  <c r="U2" i="1"/>
  <c r="T43" i="1"/>
  <c r="T25" i="1"/>
  <c r="U33" i="1"/>
  <c r="T4" i="1"/>
  <c r="T12" i="1"/>
  <c r="U14" i="1"/>
  <c r="O15" i="1"/>
  <c r="O7" i="1"/>
  <c r="O11" i="1"/>
  <c r="O30" i="1"/>
  <c r="O36" i="1"/>
  <c r="U3" i="1"/>
  <c r="U13" i="1"/>
  <c r="U28" i="1"/>
  <c r="T7" i="1"/>
  <c r="T38" i="1"/>
  <c r="O37" i="1"/>
  <c r="O39" i="1"/>
  <c r="O41" i="1"/>
  <c r="O43" i="1"/>
  <c r="O26" i="1"/>
  <c r="U17" i="1"/>
  <c r="O35" i="1"/>
  <c r="O20" i="1"/>
  <c r="T41" i="1"/>
  <c r="O28" i="1"/>
  <c r="O38" i="1"/>
  <c r="U11" i="1"/>
  <c r="O17" i="1"/>
  <c r="U15" i="1"/>
  <c r="U16" i="1"/>
  <c r="U20" i="1"/>
  <c r="T33" i="1"/>
  <c r="O42" i="1"/>
  <c r="T17" i="1"/>
  <c r="O6" i="1"/>
  <c r="U19" i="1"/>
  <c r="U38" i="1"/>
  <c r="T28" i="1"/>
  <c r="T40" i="1"/>
  <c r="T42" i="1"/>
  <c r="O8" i="1"/>
  <c r="O10" i="1"/>
  <c r="O12" i="1"/>
  <c r="O31" i="1"/>
  <c r="O33" i="1"/>
  <c r="T26" i="1"/>
  <c r="U42" i="1"/>
  <c r="U8" i="1"/>
  <c r="U10" i="1"/>
  <c r="U12" i="1"/>
  <c r="U27" i="1"/>
  <c r="T31" i="1"/>
  <c r="U7" i="1"/>
  <c r="T16" i="1"/>
  <c r="T18" i="1"/>
  <c r="U39" i="1"/>
  <c r="U43" i="1"/>
  <c r="T9" i="1"/>
  <c r="T32" i="1"/>
  <c r="U30" i="1"/>
  <c r="T20" i="1"/>
  <c r="T15" i="1"/>
  <c r="O29" i="1"/>
  <c r="U34" i="1"/>
  <c r="O2" i="1"/>
  <c r="U5" i="1"/>
  <c r="O19" i="1"/>
  <c r="U29" i="1"/>
  <c r="T34" i="1"/>
  <c r="U9" i="1"/>
  <c r="O14" i="1"/>
  <c r="T29" i="1"/>
  <c r="U4" i="1"/>
  <c r="O9" i="1"/>
  <c r="O16" i="1"/>
  <c r="T19" i="1"/>
  <c r="U26" i="1"/>
  <c r="U35" i="1"/>
  <c r="O40" i="1"/>
  <c r="O34" i="1"/>
  <c r="T8" i="1"/>
  <c r="T39" i="1"/>
  <c r="U40" i="1"/>
  <c r="T13" i="1"/>
  <c r="T27" i="1"/>
  <c r="T3" i="1"/>
  <c r="U6" i="1"/>
  <c r="T11" i="1"/>
  <c r="O18" i="1"/>
  <c r="O25" i="1"/>
  <c r="O32" i="1"/>
  <c r="T35" i="1"/>
  <c r="U37" i="1"/>
  <c r="O3" i="1"/>
  <c r="T6" i="1"/>
  <c r="O13" i="1"/>
  <c r="U18" i="1"/>
  <c r="O27" i="1"/>
  <c r="T30" i="1"/>
  <c r="U32" i="1"/>
  <c r="T37" i="1"/>
  <c r="T5" i="1"/>
  <c r="T10" i="1"/>
  <c r="U31" i="1"/>
  <c r="U36" i="1"/>
  <c r="U41" i="1"/>
  <c r="O4" i="1"/>
</calcChain>
</file>

<file path=xl/sharedStrings.xml><?xml version="1.0" encoding="utf-8"?>
<sst xmlns="http://schemas.openxmlformats.org/spreadsheetml/2006/main" count="349" uniqueCount="235">
  <si>
    <t>P01132</t>
  </si>
  <si>
    <t>EGF</t>
  </si>
  <si>
    <t>epidermal growth factor</t>
  </si>
  <si>
    <t>0610011K11Rik, Fbln4, MBP1</t>
  </si>
  <si>
    <t>MGI:96052</t>
  </si>
  <si>
    <t>Extracellular Space</t>
  </si>
  <si>
    <t>growth factor</t>
  </si>
  <si>
    <t>Q61521</t>
  </si>
  <si>
    <t>EREG</t>
  </si>
  <si>
    <t>epiregulin</t>
  </si>
  <si>
    <t>AI790464</t>
  </si>
  <si>
    <t>MGI:108086</t>
  </si>
  <si>
    <t>P22005</t>
  </si>
  <si>
    <t>PENK</t>
  </si>
  <si>
    <t>proenkephalin</t>
  </si>
  <si>
    <t>AI326464, ENK, PPA, Penk1</t>
  </si>
  <si>
    <t>MGI:103292</t>
  </si>
  <si>
    <t>other</t>
  </si>
  <si>
    <t>P12850</t>
  </si>
  <si>
    <t>CXCL2</t>
  </si>
  <si>
    <t>C-X-C motif chemokine ligand 2</t>
  </si>
  <si>
    <t>CysC</t>
  </si>
  <si>
    <t>MGI:95713</t>
  </si>
  <si>
    <t>cytokine</t>
  </si>
  <si>
    <t>Q03366</t>
  </si>
  <si>
    <t>Ccl7</t>
  </si>
  <si>
    <t>chemokine (C-C motif) ligand 7</t>
  </si>
  <si>
    <t>CCL7</t>
  </si>
  <si>
    <t>AI323594, HC11, JE, MCAF, MCP-1</t>
  </si>
  <si>
    <t>MGI:1355321</t>
  </si>
  <si>
    <t>P10148</t>
  </si>
  <si>
    <t>Ccl2</t>
  </si>
  <si>
    <t>chemokine (C-C motif) ligand 2</t>
  </si>
  <si>
    <t>CCL2</t>
  </si>
  <si>
    <t>AI848962</t>
  </si>
  <si>
    <t>MGI:1202065</t>
  </si>
  <si>
    <t>Q8JZQ5</t>
  </si>
  <si>
    <t>AOC1</t>
  </si>
  <si>
    <t>amine oxidase copper containing 1</t>
  </si>
  <si>
    <t>1600012D06Rik, Abp1, DAO</t>
  </si>
  <si>
    <t>MGI:109349</t>
  </si>
  <si>
    <t>enzyme</t>
  </si>
  <si>
    <t>P17125</t>
  </si>
  <si>
    <t>TGFB3</t>
  </si>
  <si>
    <t>transforming growth factor beta 3</t>
  </si>
  <si>
    <t>TGF-beta-3, Tgfb-3</t>
  </si>
  <si>
    <t>P28653</t>
  </si>
  <si>
    <t>BGN</t>
  </si>
  <si>
    <t>biglycan</t>
  </si>
  <si>
    <t>BG, DSPG1, PG-S1, PGI, SLRR1A</t>
  </si>
  <si>
    <t>MGI:1096330</t>
  </si>
  <si>
    <t>Q9Z0J7</t>
  </si>
  <si>
    <t>GDF15</t>
  </si>
  <si>
    <t>growth differentiation factor 15</t>
  </si>
  <si>
    <t>Gas-6</t>
  </si>
  <si>
    <t>MGI:96705</t>
  </si>
  <si>
    <t>Q9DAI2</t>
  </si>
  <si>
    <t>IFT22</t>
  </si>
  <si>
    <t>intraflagellar transport 22</t>
  </si>
  <si>
    <t>2900042B11Rik, IFT25, PP25</t>
  </si>
  <si>
    <t>MGI:97180</t>
  </si>
  <si>
    <t>P04202</t>
  </si>
  <si>
    <t>TGFB1</t>
  </si>
  <si>
    <t>transforming growth factor beta 1</t>
  </si>
  <si>
    <t>TGF-beta1, TGFbeta1, Tgfb, Tgfb-1</t>
  </si>
  <si>
    <t>P21570</t>
  </si>
  <si>
    <t>ANG</t>
  </si>
  <si>
    <t>angiogenin</t>
  </si>
  <si>
    <t>AI385586, Ang1, Rnase5, Rnase5a</t>
  </si>
  <si>
    <t>MGI:99473</t>
  </si>
  <si>
    <t>Q00724</t>
  </si>
  <si>
    <t>RBP4</t>
  </si>
  <si>
    <t>retinol binding protein 4</t>
  </si>
  <si>
    <t>Rbp-4</t>
  </si>
  <si>
    <t>MGI:98835</t>
  </si>
  <si>
    <t>Q8C0F9</t>
  </si>
  <si>
    <t>PRSS35</t>
  </si>
  <si>
    <t>serine protease 35</t>
  </si>
  <si>
    <t>6030424L22Rik, P3D9</t>
  </si>
  <si>
    <t>MGI:103036</t>
  </si>
  <si>
    <t>peptidase</t>
  </si>
  <si>
    <t>P50228</t>
  </si>
  <si>
    <t>CXCL5</t>
  </si>
  <si>
    <t>C-X-C motif chemokine ligand 6</t>
  </si>
  <si>
    <t>CXCL6</t>
  </si>
  <si>
    <t>CINC-2a, GROb, Gro2, MIP-2, MIP-2a</t>
  </si>
  <si>
    <t>MGI:95819</t>
  </si>
  <si>
    <t>P11859</t>
  </si>
  <si>
    <t>AGT</t>
  </si>
  <si>
    <t>angiotensinogen</t>
  </si>
  <si>
    <t>AI265500, AngI, AngII, Aogen, Serpina8</t>
  </si>
  <si>
    <t>MGI:1354949</t>
  </si>
  <si>
    <t>P27106</t>
  </si>
  <si>
    <t>AMH</t>
  </si>
  <si>
    <t>anti-Mullerian hormone</t>
  </si>
  <si>
    <t>MIS</t>
  </si>
  <si>
    <t>MGI:87986</t>
  </si>
  <si>
    <t>P48759</t>
  </si>
  <si>
    <t>PTX3</t>
  </si>
  <si>
    <t>pentraxin 3</t>
  </si>
  <si>
    <t>AI607804, TSG-14</t>
  </si>
  <si>
    <t>MGI:103037</t>
  </si>
  <si>
    <t>P08905</t>
  </si>
  <si>
    <t>LYZ</t>
  </si>
  <si>
    <t>lysozyme</t>
  </si>
  <si>
    <t>Lyz, Lyzf3, Lzp-s</t>
  </si>
  <si>
    <t>MGI:97616</t>
  </si>
  <si>
    <t>P19324</t>
  </si>
  <si>
    <t>SERPINH1</t>
  </si>
  <si>
    <t>serpin family H member 1</t>
  </si>
  <si>
    <t>BERF-1, Cbp1, Cbp2, Hsp47, J6</t>
  </si>
  <si>
    <t>Q8K4Z3</t>
  </si>
  <si>
    <t>NAXE</t>
  </si>
  <si>
    <t>NAD(P)HX epimerase</t>
  </si>
  <si>
    <t>AA087124, AI-BP, AIBP, Apoa1bp, Apoa1ip</t>
  </si>
  <si>
    <t>MGI:97810</t>
  </si>
  <si>
    <t>Q921M7</t>
  </si>
  <si>
    <t>CYRIB</t>
  </si>
  <si>
    <t>CYFIP related Rac1 interactor B</t>
  </si>
  <si>
    <t>AMCF-II, Cxcl6, ENA-78, GCP-2, LIX</t>
  </si>
  <si>
    <t>Q9CQ45</t>
  </si>
  <si>
    <t>NENF</t>
  </si>
  <si>
    <t>neudesin neurotrophic factor</t>
  </si>
  <si>
    <t>1110060M21Rik, SCIRP10, Spuf</t>
  </si>
  <si>
    <t>MGI:103290</t>
  </si>
  <si>
    <t>Q8BME9</t>
  </si>
  <si>
    <t>CBLN4</t>
  </si>
  <si>
    <t>cerebellin 4 precursor</t>
  </si>
  <si>
    <t>C4, Ss</t>
  </si>
  <si>
    <t>MGI:104772</t>
  </si>
  <si>
    <t>P97298</t>
  </si>
  <si>
    <t>SERPINF1</t>
  </si>
  <si>
    <t>serpin family F member 1</t>
  </si>
  <si>
    <t>AI195227, EPC-1, Pedf, Pedfl, Sdf3</t>
  </si>
  <si>
    <t>P82198</t>
  </si>
  <si>
    <t>TGFBI</t>
  </si>
  <si>
    <t>transforming growth factor beta induced</t>
  </si>
  <si>
    <t>68kDa, AI181842, AI747162, Beta-ig, big-h3</t>
  </si>
  <si>
    <t>Q9DC11</t>
  </si>
  <si>
    <t>PLXDC2</t>
  </si>
  <si>
    <t>plexin domain containing 2</t>
  </si>
  <si>
    <t>1200007L24Rik, 5430431D22Rik, AI646728, AU022916, AV231634</t>
  </si>
  <si>
    <t>MGI:1270849</t>
  </si>
  <si>
    <t>Q9Z175</t>
  </si>
  <si>
    <t>LOXL3</t>
  </si>
  <si>
    <t>lysyl oxidase like 3</t>
  </si>
  <si>
    <t>Lor2, Loxl2</t>
  </si>
  <si>
    <t>MGI:1339656</t>
  </si>
  <si>
    <t>P21460</t>
  </si>
  <si>
    <t>CST3</t>
  </si>
  <si>
    <t>cystatin C</t>
  </si>
  <si>
    <t>CST12</t>
  </si>
  <si>
    <t>Aeg2, CRISP-3, CRS3, SGP28</t>
  </si>
  <si>
    <t>MGI:1890077</t>
  </si>
  <si>
    <t>P16110</t>
  </si>
  <si>
    <t>LGALS3</t>
  </si>
  <si>
    <t>galectin 3</t>
  </si>
  <si>
    <t>GBP, L-34, Mac-2, gal3</t>
  </si>
  <si>
    <t>MGI:1339975</t>
  </si>
  <si>
    <t>Q8VC60</t>
  </si>
  <si>
    <t>GLB1L</t>
  </si>
  <si>
    <t>galactosidase beta 1 like</t>
  </si>
  <si>
    <t>MIC-1, NAG-1, SBF</t>
  </si>
  <si>
    <t>MGI:96756</t>
  </si>
  <si>
    <t>Q07235</t>
  </si>
  <si>
    <t>SERPINE2</t>
  </si>
  <si>
    <t>serpin family E member 2</t>
  </si>
  <si>
    <t>B230326M24Rik, PAI-1, PI-7, PI7, PN-1</t>
  </si>
  <si>
    <t>P51885</t>
  </si>
  <si>
    <t>LUM</t>
  </si>
  <si>
    <t>lumican</t>
  </si>
  <si>
    <t>Ldc, SLRR2D</t>
  </si>
  <si>
    <t>MGI:97615</t>
  </si>
  <si>
    <t>Q62059</t>
  </si>
  <si>
    <t>VCAN</t>
  </si>
  <si>
    <t>versican</t>
  </si>
  <si>
    <t>5430420N07Rik, 9430051N09, Cspg2, DPEAAE, NG2</t>
  </si>
  <si>
    <t>Q9WVB4</t>
  </si>
  <si>
    <t>SLIT3</t>
  </si>
  <si>
    <t>slit guidance ligand 3</t>
  </si>
  <si>
    <t>Slil2, Slit1, b2b2362.1Clo</t>
  </si>
  <si>
    <t>Q9DAN8</t>
  </si>
  <si>
    <t>Cst12</t>
  </si>
  <si>
    <t>cystatin 12</t>
  </si>
  <si>
    <t>CRISP3</t>
  </si>
  <si>
    <t>AW324342, Aeg1, CRISP-1, SCP 1</t>
  </si>
  <si>
    <t>MGI:107655</t>
  </si>
  <si>
    <t>P01029</t>
  </si>
  <si>
    <t>C4A/C4B</t>
  </si>
  <si>
    <t>complement C4A (Rodgers blood group)</t>
  </si>
  <si>
    <t>C4A</t>
  </si>
  <si>
    <t>C4, C4b, Slp, SlpA</t>
  </si>
  <si>
    <t>MGI:103198</t>
  </si>
  <si>
    <t>Q61592</t>
  </si>
  <si>
    <t>GAS6</t>
  </si>
  <si>
    <t>growth arrest specific 6</t>
  </si>
  <si>
    <t>0610025O11Rik, 5530401P20Rik</t>
  </si>
  <si>
    <t>MGI:96612</t>
  </si>
  <si>
    <t>Q03401</t>
  </si>
  <si>
    <t>Crisp1/Crisp3</t>
  </si>
  <si>
    <t>cysteine-rich secretory protein 1</t>
  </si>
  <si>
    <t>CRISP1</t>
  </si>
  <si>
    <t>AU015004</t>
  </si>
  <si>
    <t>MGI:95558</t>
  </si>
  <si>
    <t>P97401</t>
  </si>
  <si>
    <t>FRZB</t>
  </si>
  <si>
    <t>frizzled related protein</t>
  </si>
  <si>
    <t>AI536462, B430209H23, Fib-1, Tsk</t>
  </si>
  <si>
    <t>MGI:96433</t>
  </si>
  <si>
    <t>P98063</t>
  </si>
  <si>
    <t>BMP1</t>
  </si>
  <si>
    <t>bone morphogenetic protein 1</t>
  </si>
  <si>
    <t>Pcp, Tld</t>
  </si>
  <si>
    <t>MGI:1329034</t>
  </si>
  <si>
    <t>log_10_fold_change</t>
  </si>
  <si>
    <t>log_2_fold_change</t>
  </si>
  <si>
    <t>UniProt_Accession</t>
  </si>
  <si>
    <t>Gene</t>
  </si>
  <si>
    <t>Protein_Description</t>
  </si>
  <si>
    <t>UniProt_ID</t>
  </si>
  <si>
    <t>Alternate_Names</t>
  </si>
  <si>
    <t>Mouse_Gene_ID</t>
  </si>
  <si>
    <t>Cellular_Location</t>
  </si>
  <si>
    <t>Functional_Class</t>
  </si>
  <si>
    <t>Vehicle_Rep1_31579</t>
  </si>
  <si>
    <t>Vehicle_Rep2_31581</t>
  </si>
  <si>
    <t>Testosterone_Rep2_31580</t>
  </si>
  <si>
    <t>Vehicle_Mean</t>
  </si>
  <si>
    <t>Vehicle_SD</t>
  </si>
  <si>
    <t>Vehicle_SD_Percent</t>
  </si>
  <si>
    <t>Testosterone_Rep1_31578</t>
  </si>
  <si>
    <t>Testosterone_Mean</t>
  </si>
  <si>
    <t>Testosterone_SD</t>
  </si>
  <si>
    <t>Testosterone_SD_Percent</t>
  </si>
  <si>
    <t>Fold_Change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</si>
</sst>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rgb="FFFF0000"/>
      <name val="Aptos Narrow"/>
      <scheme val="minor"/>
    </font>
    <font>
      <sz val="14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5" fontId="2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2" fillId="0" borderId="0" xfId="0" applyFont="1" applyAlignment="1"/>
    <xf numFmtId="164" fontId="2" fillId="0" borderId="0" xfId="1" applyNumberFormat="1" applyFont="1" applyAlignment="1"/>
    <xf numFmtId="0" fontId="2" fillId="2" borderId="0" xfId="0" applyFont="1" applyFill="1" applyAlignment="1"/>
    <xf numFmtId="164" fontId="2" fillId="3" borderId="0" xfId="1" applyNumberFormat="1" applyFont="1" applyFill="1" applyAlignment="1"/>
    <xf numFmtId="164" fontId="2" fillId="2" borderId="0" xfId="1" applyNumberFormat="1" applyFont="1" applyFill="1" applyAlignment="1"/>
    <xf numFmtId="164" fontId="5" fillId="0" borderId="0" xfId="1" applyNumberFormat="1" applyFont="1" applyAlignment="1"/>
    <xf numFmtId="165" fontId="2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F94F-3934-A34D-9ED7-796CED4165AF}">
  <dimension ref="A1:U43"/>
  <sheetViews>
    <sheetView tabSelected="1" topLeftCell="G1" zoomScale="80" zoomScaleNormal="80" workbookViewId="0">
      <selection activeCell="Q50" sqref="Q50"/>
    </sheetView>
  </sheetViews>
  <sheetFormatPr baseColWidth="10" defaultColWidth="10.83203125" defaultRowHeight="19" x14ac:dyDescent="0.25"/>
  <cols>
    <col min="1" max="1" width="20.1640625" style="1" bestFit="1" customWidth="1"/>
    <col min="2" max="2" width="19" style="1" bestFit="1" customWidth="1"/>
    <col min="3" max="3" width="28.1640625" style="1" bestFit="1" customWidth="1"/>
    <col min="4" max="4" width="19.1640625" style="1" bestFit="1" customWidth="1"/>
    <col min="5" max="5" width="35.6640625" style="1" customWidth="1"/>
    <col min="6" max="6" width="11.83203125" style="1" customWidth="1"/>
    <col min="7" max="7" width="67.6640625" style="1" bestFit="1" customWidth="1"/>
    <col min="8" max="8" width="16.5" style="1" customWidth="1"/>
    <col min="9" max="9" width="22" style="1" customWidth="1"/>
    <col min="10" max="10" width="16.5" style="1" customWidth="1"/>
    <col min="11" max="12" width="21.83203125" style="1" bestFit="1" customWidth="1"/>
    <col min="13" max="14" width="18.5" style="1" bestFit="1" customWidth="1"/>
    <col min="15" max="15" width="21" style="1" bestFit="1" customWidth="1"/>
    <col min="16" max="17" width="28.1640625" style="11" bestFit="1" customWidth="1"/>
    <col min="18" max="18" width="20.83203125" style="1" bestFit="1" customWidth="1"/>
    <col min="19" max="19" width="18.5" style="1" bestFit="1" customWidth="1"/>
    <col min="20" max="20" width="27" style="1" bestFit="1" customWidth="1"/>
    <col min="21" max="21" width="15.1640625" style="11" bestFit="1" customWidth="1"/>
    <col min="22" max="16384" width="10.83203125" style="1"/>
  </cols>
  <sheetData>
    <row r="1" spans="1:21" s="9" customFormat="1" x14ac:dyDescent="0.25">
      <c r="A1" s="9" t="s">
        <v>214</v>
      </c>
      <c r="B1" s="9" t="s">
        <v>215</v>
      </c>
      <c r="C1" s="9" t="s">
        <v>216</v>
      </c>
      <c r="D1" s="9" t="s">
        <v>217</v>
      </c>
      <c r="E1" s="9" t="s">
        <v>218</v>
      </c>
      <c r="F1" s="9" t="s">
        <v>219</v>
      </c>
      <c r="G1" s="9" t="s">
        <v>220</v>
      </c>
      <c r="H1" s="9" t="s">
        <v>221</v>
      </c>
      <c r="I1" s="9" t="s">
        <v>222</v>
      </c>
      <c r="J1" s="9" t="s">
        <v>223</v>
      </c>
      <c r="K1" s="9" t="s">
        <v>224</v>
      </c>
      <c r="L1" s="9" t="s">
        <v>225</v>
      </c>
      <c r="M1" s="9" t="s">
        <v>227</v>
      </c>
      <c r="N1" s="9" t="s">
        <v>228</v>
      </c>
      <c r="O1" s="9" t="s">
        <v>229</v>
      </c>
      <c r="P1" s="10" t="s">
        <v>230</v>
      </c>
      <c r="Q1" s="10" t="s">
        <v>226</v>
      </c>
      <c r="R1" s="9" t="s">
        <v>231</v>
      </c>
      <c r="S1" s="9" t="s">
        <v>232</v>
      </c>
      <c r="T1" s="9" t="s">
        <v>233</v>
      </c>
      <c r="U1" s="10" t="s">
        <v>234</v>
      </c>
    </row>
    <row r="2" spans="1:21" x14ac:dyDescent="0.25">
      <c r="A2" s="1">
        <f t="shared" ref="A2:A24" si="0">2^B2</f>
        <v>1.0000000000000002E-3</v>
      </c>
      <c r="B2" s="1">
        <v>-9.965784284662087</v>
      </c>
      <c r="C2" s="1" t="s">
        <v>0</v>
      </c>
      <c r="D2" s="1" t="s">
        <v>1</v>
      </c>
      <c r="E2" s="1" t="s">
        <v>2</v>
      </c>
      <c r="F2" s="1" t="s">
        <v>1</v>
      </c>
      <c r="G2" s="1" t="s">
        <v>3</v>
      </c>
      <c r="H2" s="1" t="s">
        <v>4</v>
      </c>
      <c r="I2" s="1" t="s">
        <v>5</v>
      </c>
      <c r="J2" s="1" t="s">
        <v>6</v>
      </c>
      <c r="K2" s="2">
        <v>87500000</v>
      </c>
      <c r="L2" s="2">
        <v>5212300</v>
      </c>
      <c r="M2" s="2">
        <f>AVERAGE(K2,L2)</f>
        <v>46356150</v>
      </c>
      <c r="N2" s="2">
        <f>STDEV(K2,L2)</f>
        <v>58186190.67824427</v>
      </c>
      <c r="O2" s="1">
        <f>(N2/M2)*100</f>
        <v>125.51989472431224</v>
      </c>
      <c r="P2" s="11">
        <v>0</v>
      </c>
      <c r="Q2" s="11">
        <v>0</v>
      </c>
      <c r="R2" s="2">
        <f>AVERAGE(P2,Q2)</f>
        <v>0</v>
      </c>
      <c r="S2" s="2">
        <f>STDEV(P2,Q2)</f>
        <v>0</v>
      </c>
      <c r="T2" s="1" t="e">
        <f>(S2/R2)*L2098</f>
        <v>#DIV/0!</v>
      </c>
      <c r="U2" s="11">
        <f>R2/M2</f>
        <v>0</v>
      </c>
    </row>
    <row r="3" spans="1:21" x14ac:dyDescent="0.25">
      <c r="A3" s="1">
        <f t="shared" si="0"/>
        <v>1.0000000000000002E-3</v>
      </c>
      <c r="B3" s="1">
        <v>-9.965784284662087</v>
      </c>
      <c r="C3" s="1" t="s">
        <v>7</v>
      </c>
      <c r="D3" s="1" t="s">
        <v>8</v>
      </c>
      <c r="E3" s="1" t="s">
        <v>9</v>
      </c>
      <c r="F3" s="1" t="s">
        <v>8</v>
      </c>
      <c r="G3" s="1" t="s">
        <v>10</v>
      </c>
      <c r="H3" s="1" t="s">
        <v>11</v>
      </c>
      <c r="I3" s="1" t="s">
        <v>5</v>
      </c>
      <c r="J3" s="1" t="s">
        <v>6</v>
      </c>
      <c r="K3" s="2">
        <v>21778000</v>
      </c>
      <c r="L3" s="2">
        <v>34134000</v>
      </c>
      <c r="M3" s="2">
        <f>AVERAGE(K3,L3)</f>
        <v>27956000</v>
      </c>
      <c r="N3" s="2">
        <f t="shared" ref="N3:N20" si="1">STDEV(K3,L3)</f>
        <v>8737011.3883409817</v>
      </c>
      <c r="O3" s="1">
        <f>(N3/M3)*100</f>
        <v>31.252723523898201</v>
      </c>
      <c r="P3" s="11">
        <v>0</v>
      </c>
      <c r="Q3" s="11">
        <v>0</v>
      </c>
      <c r="R3" s="2">
        <f t="shared" ref="R3:R12" si="2">AVERAGE(P3,Q3)</f>
        <v>0</v>
      </c>
      <c r="S3" s="2">
        <f t="shared" ref="S3:S20" si="3">STDEV(P3,Q3)</f>
        <v>0</v>
      </c>
      <c r="T3" s="1" t="e">
        <f t="shared" ref="T3:T12" si="4">(S3/R3)*100</f>
        <v>#DIV/0!</v>
      </c>
      <c r="U3" s="11">
        <f>R3/M3</f>
        <v>0</v>
      </c>
    </row>
    <row r="4" spans="1:21" x14ac:dyDescent="0.25">
      <c r="A4" s="1">
        <f t="shared" si="0"/>
        <v>1.0000000000000002E-3</v>
      </c>
      <c r="B4" s="1">
        <v>-9.965784284662087</v>
      </c>
      <c r="C4" s="1" t="s">
        <v>12</v>
      </c>
      <c r="D4" s="1" t="s">
        <v>13</v>
      </c>
      <c r="E4" s="1" t="s">
        <v>14</v>
      </c>
      <c r="F4" s="1" t="s">
        <v>13</v>
      </c>
      <c r="G4" s="1" t="s">
        <v>15</v>
      </c>
      <c r="H4" s="1" t="s">
        <v>16</v>
      </c>
      <c r="I4" s="1" t="s">
        <v>5</v>
      </c>
      <c r="J4" s="1" t="s">
        <v>17</v>
      </c>
      <c r="K4" s="2">
        <v>1972600</v>
      </c>
      <c r="L4" s="2">
        <v>23627000</v>
      </c>
      <c r="M4" s="2">
        <f>AVERAGE(K4,L4)</f>
        <v>12799800</v>
      </c>
      <c r="N4" s="2">
        <f t="shared" si="1"/>
        <v>15311973.082525974</v>
      </c>
      <c r="O4" s="1">
        <f>(N4/M4)*100</f>
        <v>119.62665887377908</v>
      </c>
      <c r="P4" s="11">
        <v>0</v>
      </c>
      <c r="Q4" s="11">
        <v>0</v>
      </c>
      <c r="R4" s="2">
        <f t="shared" si="2"/>
        <v>0</v>
      </c>
      <c r="S4" s="2">
        <f t="shared" si="3"/>
        <v>0</v>
      </c>
      <c r="T4" s="1" t="e">
        <f t="shared" si="4"/>
        <v>#DIV/0!</v>
      </c>
      <c r="U4" s="11">
        <f>R4/M4</f>
        <v>0</v>
      </c>
    </row>
    <row r="5" spans="1:21" x14ac:dyDescent="0.25">
      <c r="A5" s="1">
        <f t="shared" si="0"/>
        <v>6.9878865685366387E-2</v>
      </c>
      <c r="B5" s="1">
        <v>-3.839</v>
      </c>
      <c r="C5" s="1" t="s">
        <v>18</v>
      </c>
      <c r="D5" s="3" t="s">
        <v>19</v>
      </c>
      <c r="E5" s="1" t="s">
        <v>20</v>
      </c>
      <c r="F5" s="1" t="s">
        <v>19</v>
      </c>
      <c r="G5" s="1" t="s">
        <v>21</v>
      </c>
      <c r="H5" s="1" t="s">
        <v>22</v>
      </c>
      <c r="I5" s="1" t="s">
        <v>5</v>
      </c>
      <c r="J5" s="1" t="s">
        <v>23</v>
      </c>
      <c r="K5" s="2">
        <v>0</v>
      </c>
      <c r="L5" s="2">
        <v>44021000</v>
      </c>
      <c r="M5" s="2">
        <f t="shared" ref="M5:M20" si="5">AVERAGE(K5,L5)</f>
        <v>22010500</v>
      </c>
      <c r="N5" s="2">
        <f t="shared" si="1"/>
        <v>31127547.614613008</v>
      </c>
      <c r="P5" s="11">
        <v>0</v>
      </c>
      <c r="Q5" s="11">
        <v>0</v>
      </c>
      <c r="R5" s="2">
        <f t="shared" si="2"/>
        <v>0</v>
      </c>
      <c r="S5" s="2">
        <f t="shared" si="3"/>
        <v>0</v>
      </c>
      <c r="T5" s="1" t="e">
        <f t="shared" si="4"/>
        <v>#DIV/0!</v>
      </c>
      <c r="U5" s="11">
        <f>R5/M5</f>
        <v>0</v>
      </c>
    </row>
    <row r="6" spans="1:21" x14ac:dyDescent="0.25">
      <c r="A6" s="1">
        <f t="shared" si="0"/>
        <v>0.13783364538361412</v>
      </c>
      <c r="B6" s="1">
        <v>-2.859</v>
      </c>
      <c r="C6" s="1" t="s">
        <v>24</v>
      </c>
      <c r="D6" s="4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5</v>
      </c>
      <c r="J6" s="1" t="s">
        <v>23</v>
      </c>
      <c r="K6" s="2">
        <v>47992000</v>
      </c>
      <c r="L6" s="2">
        <v>166620000</v>
      </c>
      <c r="M6" s="2">
        <f t="shared" si="5"/>
        <v>107306000</v>
      </c>
      <c r="N6" s="2">
        <f t="shared" si="1"/>
        <v>83882663.238597766</v>
      </c>
      <c r="O6" s="1">
        <f t="shared" ref="O6:O20" si="6">(N6/M6)*100</f>
        <v>78.171456618080782</v>
      </c>
      <c r="P6" s="12">
        <v>27796000</v>
      </c>
      <c r="Q6" s="14">
        <v>1783800</v>
      </c>
      <c r="R6" s="2">
        <f t="shared" si="2"/>
        <v>14789900</v>
      </c>
      <c r="S6" s="2">
        <f t="shared" si="3"/>
        <v>18393403.01358071</v>
      </c>
      <c r="T6" s="1">
        <f t="shared" si="4"/>
        <v>124.36462054226676</v>
      </c>
      <c r="U6" s="11">
        <f>R6/M6</f>
        <v>0.13782919874005181</v>
      </c>
    </row>
    <row r="7" spans="1:21" x14ac:dyDescent="0.25">
      <c r="A7" s="3">
        <f t="shared" si="0"/>
        <v>0.1958742967373352</v>
      </c>
      <c r="B7" s="1">
        <v>-2.3519999999999999</v>
      </c>
      <c r="C7" s="1" t="s">
        <v>30</v>
      </c>
      <c r="D7" s="4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5</v>
      </c>
      <c r="J7" s="1" t="s">
        <v>23</v>
      </c>
      <c r="K7" s="2">
        <v>1825300000</v>
      </c>
      <c r="L7" s="2">
        <v>1647300000</v>
      </c>
      <c r="M7" s="2">
        <f t="shared" si="5"/>
        <v>1736300000</v>
      </c>
      <c r="N7" s="2">
        <f t="shared" si="1"/>
        <v>125865007.05120546</v>
      </c>
      <c r="O7" s="1">
        <f t="shared" si="6"/>
        <v>7.2490357110640709</v>
      </c>
      <c r="P7" s="12">
        <v>525700000</v>
      </c>
      <c r="Q7" s="12">
        <v>871220000</v>
      </c>
      <c r="R7" s="2">
        <f t="shared" si="2"/>
        <v>698460000</v>
      </c>
      <c r="S7" s="2">
        <f t="shared" si="3"/>
        <v>244319535.0355759</v>
      </c>
      <c r="T7" s="1">
        <f t="shared" si="4"/>
        <v>34.979746160922012</v>
      </c>
      <c r="U7" s="13">
        <f>R7/M7</f>
        <v>0.40226919311178944</v>
      </c>
    </row>
    <row r="8" spans="1:21" x14ac:dyDescent="0.25">
      <c r="A8" s="3">
        <f t="shared" si="0"/>
        <v>0.25052040126990821</v>
      </c>
      <c r="B8" s="1">
        <v>-1.9970000000000001</v>
      </c>
      <c r="C8" s="1" t="s">
        <v>36</v>
      </c>
      <c r="D8" s="3" t="s">
        <v>37</v>
      </c>
      <c r="E8" s="1" t="s">
        <v>38</v>
      </c>
      <c r="F8" s="1" t="s">
        <v>37</v>
      </c>
      <c r="G8" s="1" t="s">
        <v>39</v>
      </c>
      <c r="H8" s="1" t="s">
        <v>40</v>
      </c>
      <c r="I8" s="1" t="s">
        <v>5</v>
      </c>
      <c r="J8" s="1" t="s">
        <v>41</v>
      </c>
      <c r="K8" s="2">
        <v>0</v>
      </c>
      <c r="L8" s="2">
        <v>552530000</v>
      </c>
      <c r="M8" s="2">
        <f t="shared" si="5"/>
        <v>276265000</v>
      </c>
      <c r="N8" s="2">
        <f t="shared" si="1"/>
        <v>390697709.80900311</v>
      </c>
      <c r="O8" s="1">
        <f t="shared" si="6"/>
        <v>141.42135623730951</v>
      </c>
      <c r="P8" s="15">
        <v>0</v>
      </c>
      <c r="Q8" s="16">
        <v>312970000</v>
      </c>
      <c r="R8" s="2">
        <f t="shared" si="2"/>
        <v>156485000</v>
      </c>
      <c r="S8" s="2">
        <f t="shared" si="3"/>
        <v>221303209.30795377</v>
      </c>
      <c r="T8" s="1">
        <f t="shared" si="4"/>
        <v>141.42135623730948</v>
      </c>
      <c r="U8" s="13">
        <f>R8/M8</f>
        <v>0.56643078203898434</v>
      </c>
    </row>
    <row r="9" spans="1:21" x14ac:dyDescent="0.25">
      <c r="A9" s="1">
        <f t="shared" si="0"/>
        <v>0.32286433757558375</v>
      </c>
      <c r="B9" s="1">
        <v>-1.631</v>
      </c>
      <c r="C9" s="1" t="s">
        <v>42</v>
      </c>
      <c r="D9" s="4" t="s">
        <v>43</v>
      </c>
      <c r="E9" s="1" t="s">
        <v>44</v>
      </c>
      <c r="F9" s="1" t="s">
        <v>43</v>
      </c>
      <c r="G9" s="1" t="s">
        <v>45</v>
      </c>
      <c r="H9" s="3"/>
      <c r="I9" s="1" t="s">
        <v>5</v>
      </c>
      <c r="J9" s="1" t="s">
        <v>6</v>
      </c>
      <c r="K9" s="2">
        <v>54831000</v>
      </c>
      <c r="L9" s="2">
        <v>56247000</v>
      </c>
      <c r="M9" s="2">
        <f t="shared" si="5"/>
        <v>55539000</v>
      </c>
      <c r="N9" s="2">
        <f t="shared" si="1"/>
        <v>1001263.2021601513</v>
      </c>
      <c r="O9" s="1">
        <f t="shared" si="6"/>
        <v>1.8028110015667393</v>
      </c>
      <c r="P9" s="11">
        <v>26257000</v>
      </c>
      <c r="Q9" s="11">
        <v>9599600</v>
      </c>
      <c r="R9" s="2">
        <f t="shared" si="2"/>
        <v>17928300</v>
      </c>
      <c r="S9" s="2">
        <f t="shared" si="3"/>
        <v>11778560.496936796</v>
      </c>
      <c r="T9" s="1">
        <f t="shared" si="4"/>
        <v>65.698144815385703</v>
      </c>
      <c r="U9" s="11">
        <f>R9/M9</f>
        <v>0.32280559606762815</v>
      </c>
    </row>
    <row r="10" spans="1:21" x14ac:dyDescent="0.25">
      <c r="A10" s="3">
        <f t="shared" si="0"/>
        <v>0.33704193293426421</v>
      </c>
      <c r="B10" s="1">
        <v>-1.569</v>
      </c>
      <c r="C10" s="1" t="s">
        <v>46</v>
      </c>
      <c r="D10" s="3" t="s">
        <v>47</v>
      </c>
      <c r="E10" s="1" t="s">
        <v>48</v>
      </c>
      <c r="F10" s="1" t="s">
        <v>47</v>
      </c>
      <c r="G10" s="1" t="s">
        <v>49</v>
      </c>
      <c r="H10" s="1" t="s">
        <v>50</v>
      </c>
      <c r="I10" s="1" t="s">
        <v>5</v>
      </c>
      <c r="J10" s="1" t="s">
        <v>17</v>
      </c>
      <c r="K10" s="2">
        <v>16575000000</v>
      </c>
      <c r="L10" s="2">
        <v>45560000000</v>
      </c>
      <c r="M10" s="2">
        <f t="shared" si="5"/>
        <v>31067500000</v>
      </c>
      <c r="N10" s="2">
        <f t="shared" si="1"/>
        <v>20495490052.692081</v>
      </c>
      <c r="O10" s="1">
        <f t="shared" si="6"/>
        <v>65.970837861727148</v>
      </c>
      <c r="P10" s="12">
        <v>19871000000</v>
      </c>
      <c r="Q10" s="12">
        <v>54053000000</v>
      </c>
      <c r="R10" s="2">
        <f t="shared" si="2"/>
        <v>36962000000</v>
      </c>
      <c r="S10" s="2">
        <f t="shared" si="3"/>
        <v>24170323994.518562</v>
      </c>
      <c r="T10" s="1">
        <f t="shared" si="4"/>
        <v>65.392359705964395</v>
      </c>
      <c r="U10" s="13">
        <f>R10/M10</f>
        <v>1.1897320350848959</v>
      </c>
    </row>
    <row r="11" spans="1:21" x14ac:dyDescent="0.25">
      <c r="A11" s="1">
        <f t="shared" si="0"/>
        <v>0.36399738724977165</v>
      </c>
      <c r="B11" s="1">
        <v>-1.458</v>
      </c>
      <c r="C11" s="1" t="s">
        <v>51</v>
      </c>
      <c r="D11" s="1" t="s">
        <v>52</v>
      </c>
      <c r="E11" s="1" t="s">
        <v>53</v>
      </c>
      <c r="F11" s="1" t="s">
        <v>52</v>
      </c>
      <c r="G11" s="1" t="s">
        <v>54</v>
      </c>
      <c r="H11" s="1" t="s">
        <v>55</v>
      </c>
      <c r="I11" s="1" t="s">
        <v>5</v>
      </c>
      <c r="J11" s="1" t="s">
        <v>6</v>
      </c>
      <c r="K11" s="2">
        <v>25757000</v>
      </c>
      <c r="L11" s="2">
        <v>852050000</v>
      </c>
      <c r="M11" s="2">
        <f t="shared" si="5"/>
        <v>438903500</v>
      </c>
      <c r="N11" s="2">
        <f t="shared" si="1"/>
        <v>584277383.54697585</v>
      </c>
      <c r="O11" s="1">
        <f t="shared" si="6"/>
        <v>133.12206066868364</v>
      </c>
      <c r="P11" s="12">
        <v>9920500</v>
      </c>
      <c r="Q11" s="12">
        <v>309610000</v>
      </c>
      <c r="R11" s="2">
        <f t="shared" si="2"/>
        <v>159765250</v>
      </c>
      <c r="S11" s="2">
        <f t="shared" si="3"/>
        <v>211912477.70040584</v>
      </c>
      <c r="T11" s="1">
        <f t="shared" si="4"/>
        <v>132.63990617509492</v>
      </c>
      <c r="U11" s="11">
        <f>R11/M11</f>
        <v>0.36400997030098869</v>
      </c>
    </row>
    <row r="12" spans="1:21" x14ac:dyDescent="0.25">
      <c r="A12" s="1">
        <f t="shared" si="0"/>
        <v>0.36703765900852581</v>
      </c>
      <c r="B12" s="1">
        <v>-1.446</v>
      </c>
      <c r="C12" s="1" t="s">
        <v>56</v>
      </c>
      <c r="D12" s="1" t="s">
        <v>57</v>
      </c>
      <c r="E12" s="1" t="s">
        <v>58</v>
      </c>
      <c r="F12" s="1" t="s">
        <v>57</v>
      </c>
      <c r="G12" s="1" t="s">
        <v>59</v>
      </c>
      <c r="H12" s="1" t="s">
        <v>60</v>
      </c>
      <c r="I12" s="1" t="s">
        <v>5</v>
      </c>
      <c r="J12" s="1" t="s">
        <v>17</v>
      </c>
      <c r="K12" s="2">
        <v>37325000</v>
      </c>
      <c r="L12" s="2">
        <v>59368000</v>
      </c>
      <c r="M12" s="2">
        <f t="shared" si="5"/>
        <v>48346500</v>
      </c>
      <c r="N12" s="2">
        <f t="shared" si="1"/>
        <v>15586754.777695067</v>
      </c>
      <c r="O12" s="1">
        <f t="shared" si="6"/>
        <v>32.239675628422056</v>
      </c>
      <c r="P12" s="12">
        <v>11954000</v>
      </c>
      <c r="Q12" s="12">
        <v>23547000</v>
      </c>
      <c r="R12" s="2">
        <f t="shared" si="2"/>
        <v>17750500</v>
      </c>
      <c r="S12" s="2">
        <f t="shared" si="3"/>
        <v>8197488.9142956454</v>
      </c>
      <c r="T12" s="1">
        <f t="shared" si="4"/>
        <v>46.181735242926372</v>
      </c>
      <c r="U12" s="11">
        <f>R12/M12</f>
        <v>0.36715170694879673</v>
      </c>
    </row>
    <row r="13" spans="1:21" x14ac:dyDescent="0.25">
      <c r="A13" s="1">
        <f t="shared" si="0"/>
        <v>0.37709501917164473</v>
      </c>
      <c r="B13" s="1">
        <v>-1.407</v>
      </c>
      <c r="C13" s="1" t="s">
        <v>61</v>
      </c>
      <c r="D13" s="4" t="s">
        <v>62</v>
      </c>
      <c r="E13" s="1" t="s">
        <v>63</v>
      </c>
      <c r="F13" s="1" t="s">
        <v>62</v>
      </c>
      <c r="G13" s="1" t="s">
        <v>64</v>
      </c>
      <c r="H13" s="3"/>
      <c r="I13" s="1" t="s">
        <v>5</v>
      </c>
      <c r="J13" s="1" t="s">
        <v>6</v>
      </c>
      <c r="K13" s="2">
        <v>156460000</v>
      </c>
      <c r="L13" s="2">
        <v>111500000</v>
      </c>
      <c r="M13" s="2">
        <f t="shared" si="5"/>
        <v>133980000</v>
      </c>
      <c r="N13" s="2">
        <f t="shared" si="1"/>
        <v>31791520.882147178</v>
      </c>
      <c r="O13" s="1">
        <f t="shared" si="6"/>
        <v>23.728557159387357</v>
      </c>
      <c r="P13" s="12">
        <v>68394000</v>
      </c>
      <c r="Q13" s="12">
        <v>32641000</v>
      </c>
      <c r="R13" s="2">
        <f>AVERAGE(P13,Q13)</f>
        <v>50517500</v>
      </c>
      <c r="S13" s="2">
        <f t="shared" si="3"/>
        <v>25281188.747762635</v>
      </c>
      <c r="T13" s="1">
        <f>(S13/R13)*100</f>
        <v>50.044417771589323</v>
      </c>
      <c r="U13" s="11">
        <f>R13/M13</f>
        <v>0.37705254515599346</v>
      </c>
    </row>
    <row r="14" spans="1:21" x14ac:dyDescent="0.25">
      <c r="A14" s="3">
        <f t="shared" si="0"/>
        <v>0.38608756654589249</v>
      </c>
      <c r="B14" s="1">
        <v>-1.373</v>
      </c>
      <c r="C14" s="1" t="s">
        <v>65</v>
      </c>
      <c r="D14" s="1" t="s">
        <v>66</v>
      </c>
      <c r="E14" s="1" t="s">
        <v>67</v>
      </c>
      <c r="F14" s="1" t="s">
        <v>66</v>
      </c>
      <c r="G14" s="1" t="s">
        <v>68</v>
      </c>
      <c r="H14" s="1" t="s">
        <v>69</v>
      </c>
      <c r="I14" s="1" t="s">
        <v>5</v>
      </c>
      <c r="J14" s="1" t="s">
        <v>41</v>
      </c>
      <c r="K14" s="2">
        <v>31530000</v>
      </c>
      <c r="L14" s="2">
        <v>86515000</v>
      </c>
      <c r="M14" s="2">
        <f t="shared" si="5"/>
        <v>59022500</v>
      </c>
      <c r="N14" s="2">
        <f t="shared" si="1"/>
        <v>38880266.363542318</v>
      </c>
      <c r="O14" s="1">
        <f t="shared" si="6"/>
        <v>65.873635246799651</v>
      </c>
      <c r="P14" s="12">
        <v>27253000</v>
      </c>
      <c r="Q14" s="12">
        <v>28046000</v>
      </c>
      <c r="R14" s="2">
        <f>AVERAGE(P14,Q14)</f>
        <v>27649500</v>
      </c>
      <c r="S14" s="2">
        <f t="shared" si="3"/>
        <v>560735.67748093221</v>
      </c>
      <c r="T14" s="1">
        <f>(S14/R14)*100</f>
        <v>2.0280138066906535</v>
      </c>
      <c r="U14" s="13">
        <f>R14/M14</f>
        <v>0.46845694438561564</v>
      </c>
    </row>
    <row r="15" spans="1:21" x14ac:dyDescent="0.25">
      <c r="A15" s="3">
        <f t="shared" si="0"/>
        <v>0.41151017263935408</v>
      </c>
      <c r="B15" s="1">
        <v>-1.2809999999999999</v>
      </c>
      <c r="C15" s="1" t="s">
        <v>70</v>
      </c>
      <c r="D15" s="1" t="s">
        <v>71</v>
      </c>
      <c r="E15" s="1" t="s">
        <v>72</v>
      </c>
      <c r="F15" s="1" t="s">
        <v>71</v>
      </c>
      <c r="G15" s="1" t="s">
        <v>73</v>
      </c>
      <c r="H15" s="1" t="s">
        <v>74</v>
      </c>
      <c r="I15" s="1" t="s">
        <v>5</v>
      </c>
      <c r="J15" s="1" t="s">
        <v>17</v>
      </c>
      <c r="K15" s="2">
        <v>12842000</v>
      </c>
      <c r="L15" s="2">
        <v>5373500</v>
      </c>
      <c r="M15" s="2">
        <f t="shared" si="5"/>
        <v>9107750</v>
      </c>
      <c r="N15" s="2">
        <f t="shared" si="1"/>
        <v>5281026.9952917304</v>
      </c>
      <c r="O15" s="1">
        <f t="shared" si="6"/>
        <v>57.983881807161261</v>
      </c>
      <c r="P15" s="12">
        <v>7495800</v>
      </c>
      <c r="Q15" s="15">
        <v>0</v>
      </c>
      <c r="R15" s="2">
        <f>AVERAGE(P15,Q15)</f>
        <v>3747900</v>
      </c>
      <c r="S15" s="2">
        <f t="shared" si="3"/>
        <v>5300331.0104181226</v>
      </c>
      <c r="T15" s="1">
        <f>(S15/R15)*100</f>
        <v>141.42135623730948</v>
      </c>
      <c r="U15" s="13">
        <f>R15/M15</f>
        <v>0.41150668386813427</v>
      </c>
    </row>
    <row r="16" spans="1:21" x14ac:dyDescent="0.25">
      <c r="A16" s="1">
        <f t="shared" si="0"/>
        <v>0.49723508433660718</v>
      </c>
      <c r="B16" s="1">
        <v>-1.008</v>
      </c>
      <c r="C16" s="1" t="s">
        <v>75</v>
      </c>
      <c r="D16" s="1" t="s">
        <v>76</v>
      </c>
      <c r="E16" s="1" t="s">
        <v>77</v>
      </c>
      <c r="F16" s="1" t="s">
        <v>76</v>
      </c>
      <c r="G16" s="1" t="s">
        <v>78</v>
      </c>
      <c r="H16" s="1" t="s">
        <v>79</v>
      </c>
      <c r="I16" s="1" t="s">
        <v>5</v>
      </c>
      <c r="J16" s="1" t="s">
        <v>80</v>
      </c>
      <c r="K16" s="2">
        <v>2016300000</v>
      </c>
      <c r="L16" s="2">
        <v>1277900000</v>
      </c>
      <c r="M16" s="2">
        <f t="shared" si="5"/>
        <v>1647100000</v>
      </c>
      <c r="N16" s="2">
        <f t="shared" si="1"/>
        <v>522127647.22814667</v>
      </c>
      <c r="O16" s="1">
        <f t="shared" si="6"/>
        <v>31.699814657771029</v>
      </c>
      <c r="P16" s="12">
        <v>1333000000</v>
      </c>
      <c r="Q16" s="12">
        <v>304740000</v>
      </c>
      <c r="R16" s="2">
        <f t="shared" ref="R16:R20" si="7">AVERAGE(P16,Q16)</f>
        <v>818870000</v>
      </c>
      <c r="S16" s="2">
        <f t="shared" si="3"/>
        <v>727089618.82287931</v>
      </c>
      <c r="T16" s="1">
        <f t="shared" ref="T16:T20" si="8">(S16/R16)*100</f>
        <v>88.791825176509008</v>
      </c>
      <c r="U16" s="11">
        <f>R16/M16</f>
        <v>0.49715864246250985</v>
      </c>
    </row>
    <row r="17" spans="1:21" x14ac:dyDescent="0.25">
      <c r="A17" s="1">
        <f t="shared" si="0"/>
        <v>0.49896135949952541</v>
      </c>
      <c r="B17" s="1">
        <v>-1.0029999999999999</v>
      </c>
      <c r="C17" s="1" t="s">
        <v>81</v>
      </c>
      <c r="D17" s="4" t="s">
        <v>82</v>
      </c>
      <c r="E17" s="1" t="s">
        <v>83</v>
      </c>
      <c r="F17" s="1" t="s">
        <v>84</v>
      </c>
      <c r="G17" s="1" t="s">
        <v>85</v>
      </c>
      <c r="H17" s="1" t="s">
        <v>86</v>
      </c>
      <c r="I17" s="1" t="s">
        <v>5</v>
      </c>
      <c r="J17" s="1" t="s">
        <v>23</v>
      </c>
      <c r="K17" s="2">
        <v>8919200</v>
      </c>
      <c r="L17" s="2">
        <v>1405500000</v>
      </c>
      <c r="M17" s="2">
        <f t="shared" si="5"/>
        <v>707209600</v>
      </c>
      <c r="N17" s="2">
        <f t="shared" si="1"/>
        <v>987531754.15493345</v>
      </c>
      <c r="O17" s="1">
        <f t="shared" si="6"/>
        <v>139.63777558377791</v>
      </c>
      <c r="P17" s="12">
        <v>6494600</v>
      </c>
      <c r="Q17" s="12">
        <v>699340000</v>
      </c>
      <c r="R17" s="2">
        <f t="shared" si="7"/>
        <v>352917300</v>
      </c>
      <c r="S17" s="2">
        <f t="shared" si="3"/>
        <v>489915680.65390599</v>
      </c>
      <c r="T17" s="1">
        <f t="shared" si="8"/>
        <v>138.81883394605649</v>
      </c>
      <c r="U17" s="11">
        <f>R17/M17</f>
        <v>0.49902786953118283</v>
      </c>
    </row>
    <row r="18" spans="1:21" x14ac:dyDescent="0.25">
      <c r="A18" s="1">
        <f t="shared" si="0"/>
        <v>1.4927783832969528</v>
      </c>
      <c r="B18" s="1">
        <v>0.57799999999999996</v>
      </c>
      <c r="C18" s="1" t="s">
        <v>87</v>
      </c>
      <c r="D18" s="1" t="s">
        <v>88</v>
      </c>
      <c r="E18" s="1" t="s">
        <v>89</v>
      </c>
      <c r="F18" s="1" t="s">
        <v>88</v>
      </c>
      <c r="G18" s="1" t="s">
        <v>90</v>
      </c>
      <c r="H18" s="1" t="s">
        <v>91</v>
      </c>
      <c r="I18" s="1" t="s">
        <v>5</v>
      </c>
      <c r="J18" s="1" t="s">
        <v>6</v>
      </c>
      <c r="K18" s="2">
        <v>2943700000</v>
      </c>
      <c r="L18" s="2">
        <v>3183100000</v>
      </c>
      <c r="M18" s="2">
        <f t="shared" si="5"/>
        <v>3063400000</v>
      </c>
      <c r="N18" s="2">
        <f t="shared" si="1"/>
        <v>169281363.41605946</v>
      </c>
      <c r="O18" s="1">
        <f t="shared" si="6"/>
        <v>5.5259307767859065</v>
      </c>
      <c r="P18" s="12">
        <v>3501900000</v>
      </c>
      <c r="Q18" s="12">
        <v>5644500000</v>
      </c>
      <c r="R18" s="2">
        <f t="shared" si="7"/>
        <v>4573200000</v>
      </c>
      <c r="S18" s="2">
        <f t="shared" si="3"/>
        <v>1515046989.370296</v>
      </c>
      <c r="T18" s="1">
        <f t="shared" si="8"/>
        <v>33.128815476478088</v>
      </c>
      <c r="U18" s="11">
        <f>R18/M18</f>
        <v>1.4928510804987922</v>
      </c>
    </row>
    <row r="19" spans="1:21" x14ac:dyDescent="0.25">
      <c r="A19" s="1">
        <f t="shared" si="0"/>
        <v>1.525201653256284</v>
      </c>
      <c r="B19" s="1">
        <v>0.60899999999999999</v>
      </c>
      <c r="C19" s="1" t="s">
        <v>92</v>
      </c>
      <c r="D19" s="1" t="s">
        <v>93</v>
      </c>
      <c r="E19" s="1" t="s">
        <v>94</v>
      </c>
      <c r="F19" s="1" t="s">
        <v>93</v>
      </c>
      <c r="G19" s="1" t="s">
        <v>95</v>
      </c>
      <c r="H19" s="1" t="s">
        <v>96</v>
      </c>
      <c r="I19" s="1" t="s">
        <v>5</v>
      </c>
      <c r="J19" s="1" t="s">
        <v>6</v>
      </c>
      <c r="K19" s="2">
        <v>14487000</v>
      </c>
      <c r="L19" s="2">
        <v>11895000</v>
      </c>
      <c r="M19" s="2">
        <f t="shared" si="5"/>
        <v>13191000</v>
      </c>
      <c r="N19" s="2">
        <f t="shared" si="1"/>
        <v>1832820.7768355312</v>
      </c>
      <c r="O19" s="1">
        <f t="shared" si="6"/>
        <v>13.894479393795248</v>
      </c>
      <c r="P19" s="12">
        <v>32591000</v>
      </c>
      <c r="Q19" s="12">
        <v>7637100</v>
      </c>
      <c r="R19" s="2">
        <f t="shared" si="7"/>
        <v>20114050</v>
      </c>
      <c r="S19" s="2">
        <f t="shared" si="3"/>
        <v>17645071.90705099</v>
      </c>
      <c r="T19" s="1">
        <f t="shared" si="8"/>
        <v>87.725107111949058</v>
      </c>
      <c r="U19" s="11">
        <f>R19/M19</f>
        <v>1.5248313243878402</v>
      </c>
    </row>
    <row r="20" spans="1:21" x14ac:dyDescent="0.25">
      <c r="A20" s="1">
        <f t="shared" si="0"/>
        <v>1.5422108254079407</v>
      </c>
      <c r="B20" s="1">
        <v>0.625</v>
      </c>
      <c r="C20" s="1" t="s">
        <v>97</v>
      </c>
      <c r="D20" s="1" t="s">
        <v>98</v>
      </c>
      <c r="E20" s="1" t="s">
        <v>99</v>
      </c>
      <c r="F20" s="1" t="s">
        <v>98</v>
      </c>
      <c r="G20" s="1" t="s">
        <v>100</v>
      </c>
      <c r="H20" s="1" t="s">
        <v>101</v>
      </c>
      <c r="I20" s="1" t="s">
        <v>5</v>
      </c>
      <c r="J20" s="1" t="s">
        <v>17</v>
      </c>
      <c r="K20" s="2">
        <v>5435100000</v>
      </c>
      <c r="L20" s="2">
        <v>3233100000</v>
      </c>
      <c r="M20" s="2">
        <f t="shared" si="5"/>
        <v>4334100000</v>
      </c>
      <c r="N20" s="2">
        <f t="shared" si="1"/>
        <v>1557049132.1727777</v>
      </c>
      <c r="O20" s="1">
        <f t="shared" si="6"/>
        <v>35.925546991827083</v>
      </c>
      <c r="P20" s="12">
        <v>7786600000</v>
      </c>
      <c r="Q20" s="12">
        <v>5583700000</v>
      </c>
      <c r="R20" s="2">
        <f t="shared" si="7"/>
        <v>6685150000</v>
      </c>
      <c r="S20" s="2">
        <f t="shared" si="3"/>
        <v>1557685528.2758453</v>
      </c>
      <c r="T20" s="1">
        <f t="shared" si="8"/>
        <v>23.300681783891839</v>
      </c>
      <c r="U20" s="11">
        <f>R20/M20</f>
        <v>1.5424540273643894</v>
      </c>
    </row>
    <row r="21" spans="1:21" x14ac:dyDescent="0.25">
      <c r="A21" s="1">
        <f t="shared" si="0"/>
        <v>1.5594096852226467</v>
      </c>
      <c r="B21" s="1">
        <v>0.64100000000000001</v>
      </c>
      <c r="C21" s="1" t="s">
        <v>102</v>
      </c>
      <c r="D21" s="1" t="s">
        <v>103</v>
      </c>
      <c r="E21" s="1" t="s">
        <v>104</v>
      </c>
      <c r="F21" s="1" t="s">
        <v>103</v>
      </c>
      <c r="G21" s="1" t="s">
        <v>105</v>
      </c>
      <c r="H21" s="1" t="s">
        <v>106</v>
      </c>
      <c r="I21" s="1" t="s">
        <v>5</v>
      </c>
      <c r="J21" s="1" t="s">
        <v>41</v>
      </c>
      <c r="K21" s="5"/>
      <c r="L21" s="5"/>
      <c r="M21" s="5"/>
      <c r="N21" s="5"/>
      <c r="O21" s="3"/>
      <c r="P21" s="15"/>
      <c r="Q21" s="15"/>
      <c r="R21" s="5"/>
      <c r="S21" s="5"/>
      <c r="T21" s="3"/>
      <c r="U21" s="13"/>
    </row>
    <row r="22" spans="1:21" x14ac:dyDescent="0.25">
      <c r="A22" s="1">
        <f t="shared" si="0"/>
        <v>1.6043623327049727</v>
      </c>
      <c r="B22" s="1">
        <v>0.68200000000000005</v>
      </c>
      <c r="C22" s="1" t="s">
        <v>107</v>
      </c>
      <c r="D22" s="1" t="s">
        <v>108</v>
      </c>
      <c r="E22" s="1" t="s">
        <v>109</v>
      </c>
      <c r="F22" s="1" t="s">
        <v>108</v>
      </c>
      <c r="G22" s="1" t="s">
        <v>110</v>
      </c>
      <c r="H22" s="3"/>
      <c r="I22" s="1" t="s">
        <v>5</v>
      </c>
      <c r="J22" s="1" t="s">
        <v>17</v>
      </c>
      <c r="K22" s="5"/>
      <c r="L22" s="5"/>
      <c r="M22" s="5"/>
      <c r="N22" s="5"/>
      <c r="O22" s="3"/>
      <c r="P22" s="15"/>
      <c r="Q22" s="15"/>
      <c r="R22" s="5"/>
      <c r="S22" s="5"/>
      <c r="T22" s="3"/>
      <c r="U22" s="13"/>
    </row>
    <row r="23" spans="1:21" x14ac:dyDescent="0.25">
      <c r="A23" s="1">
        <f t="shared" si="0"/>
        <v>1.6099322752422436</v>
      </c>
      <c r="B23" s="1">
        <v>0.68700000000000006</v>
      </c>
      <c r="C23" s="1" t="s">
        <v>111</v>
      </c>
      <c r="D23" s="1" t="s">
        <v>112</v>
      </c>
      <c r="E23" s="1" t="s">
        <v>113</v>
      </c>
      <c r="F23" s="1" t="s">
        <v>112</v>
      </c>
      <c r="G23" s="1" t="s">
        <v>114</v>
      </c>
      <c r="H23" s="1" t="s">
        <v>115</v>
      </c>
      <c r="I23" s="1" t="s">
        <v>5</v>
      </c>
      <c r="J23" s="1" t="s">
        <v>41</v>
      </c>
      <c r="K23" s="5"/>
      <c r="L23" s="5"/>
      <c r="M23" s="5"/>
      <c r="N23" s="5"/>
      <c r="O23" s="3"/>
      <c r="P23" s="15"/>
      <c r="Q23" s="15"/>
      <c r="R23" s="5"/>
      <c r="S23" s="5"/>
      <c r="T23" s="3"/>
      <c r="U23" s="13"/>
    </row>
    <row r="24" spans="1:21" x14ac:dyDescent="0.25">
      <c r="A24" s="1">
        <f t="shared" si="0"/>
        <v>1.6312749866780192</v>
      </c>
      <c r="B24" s="1">
        <v>0.70599999999999996</v>
      </c>
      <c r="C24" s="1" t="s">
        <v>116</v>
      </c>
      <c r="D24" s="1" t="s">
        <v>117</v>
      </c>
      <c r="E24" s="1" t="s">
        <v>118</v>
      </c>
      <c r="F24" s="1" t="s">
        <v>117</v>
      </c>
      <c r="G24" s="1" t="s">
        <v>119</v>
      </c>
      <c r="H24" s="1" t="s">
        <v>86</v>
      </c>
      <c r="I24" s="1" t="s">
        <v>5</v>
      </c>
      <c r="J24" s="1" t="s">
        <v>17</v>
      </c>
      <c r="K24" s="5"/>
      <c r="L24" s="5"/>
      <c r="M24" s="5"/>
      <c r="N24" s="5"/>
      <c r="O24" s="3"/>
      <c r="P24" s="15"/>
      <c r="Q24" s="15"/>
      <c r="R24" s="5"/>
      <c r="S24" s="5"/>
      <c r="T24" s="3"/>
      <c r="U24" s="13"/>
    </row>
    <row r="25" spans="1:21" x14ac:dyDescent="0.25">
      <c r="A25" s="1">
        <f t="shared" ref="A25:A42" si="9">2^B25</f>
        <v>2.223758315034214</v>
      </c>
      <c r="B25" s="1">
        <v>1.153</v>
      </c>
      <c r="C25" s="1" t="s">
        <v>120</v>
      </c>
      <c r="D25" s="1" t="s">
        <v>121</v>
      </c>
      <c r="E25" s="1" t="s">
        <v>122</v>
      </c>
      <c r="F25" s="1" t="s">
        <v>121</v>
      </c>
      <c r="G25" s="1" t="s">
        <v>123</v>
      </c>
      <c r="H25" s="1" t="s">
        <v>124</v>
      </c>
      <c r="I25" s="1" t="s">
        <v>5</v>
      </c>
      <c r="J25" s="1" t="s">
        <v>6</v>
      </c>
      <c r="K25" s="2">
        <v>39062000</v>
      </c>
      <c r="L25" s="2">
        <v>346550000</v>
      </c>
      <c r="M25" s="2">
        <f>AVERAGE(K25,L25)</f>
        <v>192806000</v>
      </c>
      <c r="N25" s="2">
        <f>STDEV(K25,L25)</f>
        <v>217426849.93348911</v>
      </c>
      <c r="O25" s="1">
        <f t="shared" ref="O25:O42" si="10">(N25/M25)*100</f>
        <v>112.76975298148871</v>
      </c>
      <c r="P25" s="17">
        <v>518900000</v>
      </c>
      <c r="Q25" s="17">
        <v>338400000</v>
      </c>
      <c r="R25" s="2">
        <f>AVERAGE(P25,Q25)</f>
        <v>428650000</v>
      </c>
      <c r="S25" s="2">
        <f>STDEV(P25,Q25)</f>
        <v>127632774.00417183</v>
      </c>
      <c r="T25" s="1">
        <f>(S25/R25)*100</f>
        <v>29.775521755318284</v>
      </c>
      <c r="U25" s="11">
        <f>R25/M25</f>
        <v>2.2232191944234101</v>
      </c>
    </row>
    <row r="26" spans="1:21" x14ac:dyDescent="0.25">
      <c r="A26" s="1">
        <f t="shared" si="9"/>
        <v>2.2704842042921292</v>
      </c>
      <c r="B26" s="1">
        <v>1.1830000000000001</v>
      </c>
      <c r="C26" s="1" t="s">
        <v>125</v>
      </c>
      <c r="D26" s="1" t="s">
        <v>126</v>
      </c>
      <c r="E26" s="1" t="s">
        <v>127</v>
      </c>
      <c r="F26" s="1" t="s">
        <v>126</v>
      </c>
      <c r="G26" s="1" t="s">
        <v>128</v>
      </c>
      <c r="H26" s="1" t="s">
        <v>129</v>
      </c>
      <c r="I26" s="1" t="s">
        <v>5</v>
      </c>
      <c r="J26" s="1" t="s">
        <v>17</v>
      </c>
      <c r="K26" s="2">
        <v>137170000</v>
      </c>
      <c r="L26" s="2">
        <v>42460000</v>
      </c>
      <c r="M26" s="2">
        <f>AVERAGE(K26,L26)</f>
        <v>89815000</v>
      </c>
      <c r="N26" s="2">
        <f>STDEV(K26,L26)</f>
        <v>66970083.246177919</v>
      </c>
      <c r="O26" s="1">
        <f t="shared" si="10"/>
        <v>74.564475027754739</v>
      </c>
      <c r="P26" s="17">
        <v>267240000</v>
      </c>
      <c r="Q26" s="17">
        <v>140480000</v>
      </c>
      <c r="R26" s="2">
        <f>AVERAGE(P26,Q26)</f>
        <v>203860000</v>
      </c>
      <c r="S26" s="2">
        <f>STDEV(P26,Q26)</f>
        <v>89632855.583206758</v>
      </c>
      <c r="T26" s="1">
        <f>(S26/R26)*100</f>
        <v>43.967848319045792</v>
      </c>
      <c r="U26" s="11">
        <f>R26/M26</f>
        <v>2.2697767633468797</v>
      </c>
    </row>
    <row r="27" spans="1:21" x14ac:dyDescent="0.25">
      <c r="A27" s="1">
        <f t="shared" si="9"/>
        <v>2.2704842042921292</v>
      </c>
      <c r="B27" s="1">
        <v>1.1830000000000001</v>
      </c>
      <c r="C27" s="1" t="s">
        <v>130</v>
      </c>
      <c r="D27" s="1" t="s">
        <v>131</v>
      </c>
      <c r="E27" s="1" t="s">
        <v>132</v>
      </c>
      <c r="F27" s="1" t="s">
        <v>131</v>
      </c>
      <c r="G27" s="1" t="s">
        <v>133</v>
      </c>
      <c r="H27" s="3"/>
      <c r="I27" s="1" t="s">
        <v>5</v>
      </c>
      <c r="J27" s="1" t="s">
        <v>17</v>
      </c>
      <c r="K27" s="2">
        <v>4781100000</v>
      </c>
      <c r="L27" s="2">
        <v>10367000000</v>
      </c>
      <c r="M27" s="2">
        <f t="shared" ref="M27:M42" si="11">AVERAGE(K27,L27)</f>
        <v>7574050000</v>
      </c>
      <c r="N27" s="2">
        <f t="shared" ref="N27:N42" si="12">STDEV(K27,L27)</f>
        <v>3949827769.0299358</v>
      </c>
      <c r="O27" s="1">
        <f t="shared" si="10"/>
        <v>52.149481044222526</v>
      </c>
      <c r="P27" s="17">
        <v>5800700000</v>
      </c>
      <c r="Q27" s="17">
        <v>28591000000</v>
      </c>
      <c r="R27" s="2">
        <f t="shared" ref="R27:R42" si="13">AVERAGE(P27,Q27)</f>
        <v>17195850000</v>
      </c>
      <c r="S27" s="2">
        <f t="shared" ref="S27:S42" si="14">STDEV(P27,Q27)</f>
        <v>16115175675.275776</v>
      </c>
      <c r="T27" s="1">
        <f t="shared" ref="T27:T42" si="15">(S27/R27)*100</f>
        <v>93.715493420073898</v>
      </c>
      <c r="U27" s="11">
        <f>R27/M27</f>
        <v>2.2703639400320834</v>
      </c>
    </row>
    <row r="28" spans="1:21" x14ac:dyDescent="0.25">
      <c r="A28" s="1">
        <f t="shared" si="9"/>
        <v>2.2989896960693539</v>
      </c>
      <c r="B28" s="1">
        <v>1.2010000000000001</v>
      </c>
      <c r="C28" s="1" t="s">
        <v>134</v>
      </c>
      <c r="D28" s="1" t="s">
        <v>135</v>
      </c>
      <c r="E28" s="1" t="s">
        <v>136</v>
      </c>
      <c r="F28" s="1" t="s">
        <v>135</v>
      </c>
      <c r="G28" s="1" t="s">
        <v>137</v>
      </c>
      <c r="H28" s="3"/>
      <c r="I28" s="1" t="s">
        <v>5</v>
      </c>
      <c r="J28" s="1" t="s">
        <v>17</v>
      </c>
      <c r="K28" s="2">
        <v>222530000</v>
      </c>
      <c r="L28" s="2">
        <v>820200000</v>
      </c>
      <c r="M28" s="2">
        <f t="shared" si="11"/>
        <v>521365000</v>
      </c>
      <c r="N28" s="2">
        <f t="shared" si="12"/>
        <v>422616509.91176385</v>
      </c>
      <c r="O28" s="1">
        <f t="shared" si="10"/>
        <v>81.059624238635863</v>
      </c>
      <c r="P28" s="17">
        <v>183100000</v>
      </c>
      <c r="Q28" s="17">
        <v>2214900000</v>
      </c>
      <c r="R28" s="2">
        <f t="shared" si="13"/>
        <v>1199000000</v>
      </c>
      <c r="S28" s="2">
        <f t="shared" si="14"/>
        <v>1436699558.0148273</v>
      </c>
      <c r="T28" s="1">
        <f t="shared" si="15"/>
        <v>119.82481718222078</v>
      </c>
      <c r="U28" s="11">
        <f>R28/M28</f>
        <v>2.2997324331322586</v>
      </c>
    </row>
    <row r="29" spans="1:21" x14ac:dyDescent="0.25">
      <c r="A29" s="1">
        <f t="shared" si="9"/>
        <v>2.3294671729369116</v>
      </c>
      <c r="B29" s="1">
        <v>1.22</v>
      </c>
      <c r="C29" s="1" t="s">
        <v>138</v>
      </c>
      <c r="D29" s="1" t="s">
        <v>139</v>
      </c>
      <c r="E29" s="1" t="s">
        <v>140</v>
      </c>
      <c r="F29" s="1" t="s">
        <v>139</v>
      </c>
      <c r="G29" s="1" t="s">
        <v>141</v>
      </c>
      <c r="H29" s="1" t="s">
        <v>142</v>
      </c>
      <c r="I29" s="1" t="s">
        <v>5</v>
      </c>
      <c r="J29" s="1" t="s">
        <v>17</v>
      </c>
      <c r="K29" s="2">
        <v>202230000</v>
      </c>
      <c r="L29" s="2">
        <v>56622000</v>
      </c>
      <c r="M29" s="2">
        <f t="shared" si="11"/>
        <v>129426000</v>
      </c>
      <c r="N29" s="2">
        <f t="shared" si="12"/>
        <v>102960404.19501081</v>
      </c>
      <c r="O29" s="1">
        <f t="shared" si="10"/>
        <v>79.551561660725682</v>
      </c>
      <c r="P29" s="17">
        <v>410920000</v>
      </c>
      <c r="Q29" s="17">
        <v>191940000</v>
      </c>
      <c r="R29" s="2">
        <f t="shared" si="13"/>
        <v>301430000</v>
      </c>
      <c r="S29" s="2">
        <f t="shared" si="14"/>
        <v>154842242.94423017</v>
      </c>
      <c r="T29" s="1">
        <f t="shared" si="15"/>
        <v>51.369221027844006</v>
      </c>
      <c r="U29" s="11">
        <f>R29/M29</f>
        <v>2.3289756308624234</v>
      </c>
    </row>
    <row r="30" spans="1:21" x14ac:dyDescent="0.25">
      <c r="A30" s="1">
        <f t="shared" si="9"/>
        <v>2.3521825005819297</v>
      </c>
      <c r="B30" s="1">
        <v>1.234</v>
      </c>
      <c r="C30" s="1" t="s">
        <v>143</v>
      </c>
      <c r="D30" s="3" t="s">
        <v>144</v>
      </c>
      <c r="E30" s="1" t="s">
        <v>145</v>
      </c>
      <c r="F30" s="1" t="s">
        <v>144</v>
      </c>
      <c r="G30" s="1" t="s">
        <v>146</v>
      </c>
      <c r="H30" s="1" t="s">
        <v>147</v>
      </c>
      <c r="I30" s="1" t="s">
        <v>5</v>
      </c>
      <c r="J30" s="1" t="s">
        <v>41</v>
      </c>
      <c r="K30" s="2">
        <v>26430000</v>
      </c>
      <c r="L30" s="5">
        <v>0</v>
      </c>
      <c r="M30" s="2">
        <f t="shared" si="11"/>
        <v>13215000</v>
      </c>
      <c r="N30" s="2">
        <f t="shared" si="12"/>
        <v>18688832.226760451</v>
      </c>
      <c r="O30" s="1">
        <f t="shared" si="10"/>
        <v>141.42135623730948</v>
      </c>
      <c r="P30" s="17">
        <v>42385000</v>
      </c>
      <c r="Q30" s="17">
        <v>19778000</v>
      </c>
      <c r="R30" s="2">
        <f t="shared" si="13"/>
        <v>31081500</v>
      </c>
      <c r="S30" s="2">
        <f t="shared" si="14"/>
        <v>15985563.002284279</v>
      </c>
      <c r="T30" s="1">
        <f t="shared" si="15"/>
        <v>51.431118196625903</v>
      </c>
      <c r="U30" s="11">
        <f>R30/M30</f>
        <v>2.3519863791146425</v>
      </c>
    </row>
    <row r="31" spans="1:21" x14ac:dyDescent="0.25">
      <c r="A31" s="3">
        <f t="shared" si="9"/>
        <v>2.5526575376579057</v>
      </c>
      <c r="B31" s="1">
        <v>1.3520000000000001</v>
      </c>
      <c r="C31" s="1" t="s">
        <v>148</v>
      </c>
      <c r="D31" s="1" t="s">
        <v>149</v>
      </c>
      <c r="E31" s="1" t="s">
        <v>150</v>
      </c>
      <c r="F31" s="1" t="s">
        <v>151</v>
      </c>
      <c r="G31" s="1" t="s">
        <v>152</v>
      </c>
      <c r="H31" s="1" t="s">
        <v>153</v>
      </c>
      <c r="I31" s="1" t="s">
        <v>5</v>
      </c>
      <c r="J31" s="1" t="s">
        <v>17</v>
      </c>
      <c r="K31" s="2">
        <v>17614000000</v>
      </c>
      <c r="L31" s="2">
        <v>22952000000</v>
      </c>
      <c r="M31" s="2">
        <f t="shared" si="11"/>
        <v>20283000000</v>
      </c>
      <c r="N31" s="2">
        <f t="shared" si="12"/>
        <v>3774535997.9737811</v>
      </c>
      <c r="O31" s="1">
        <f t="shared" si="10"/>
        <v>18.609357580110345</v>
      </c>
      <c r="P31" s="17">
        <v>24423000000</v>
      </c>
      <c r="Q31" s="17">
        <v>21960000000</v>
      </c>
      <c r="R31" s="2">
        <f t="shared" si="13"/>
        <v>23191500000</v>
      </c>
      <c r="S31" s="2">
        <f t="shared" si="14"/>
        <v>1741604002.0624666</v>
      </c>
      <c r="T31" s="1">
        <f t="shared" si="15"/>
        <v>7.5096651879458713</v>
      </c>
      <c r="U31" s="13">
        <f>R31/M31</f>
        <v>1.1433959473450672</v>
      </c>
    </row>
    <row r="32" spans="1:21" x14ac:dyDescent="0.25">
      <c r="A32" s="1">
        <f t="shared" si="9"/>
        <v>2.6629032264727415</v>
      </c>
      <c r="B32" s="1">
        <v>1.413</v>
      </c>
      <c r="C32" s="1" t="s">
        <v>154</v>
      </c>
      <c r="D32" s="1" t="s">
        <v>155</v>
      </c>
      <c r="E32" s="1" t="s">
        <v>156</v>
      </c>
      <c r="F32" s="1" t="s">
        <v>155</v>
      </c>
      <c r="G32" s="1" t="s">
        <v>157</v>
      </c>
      <c r="H32" s="1" t="s">
        <v>158</v>
      </c>
      <c r="I32" s="1" t="s">
        <v>5</v>
      </c>
      <c r="J32" s="1" t="s">
        <v>17</v>
      </c>
      <c r="K32" s="2">
        <v>23095000</v>
      </c>
      <c r="L32" s="2">
        <v>50856000</v>
      </c>
      <c r="M32" s="2">
        <f t="shared" si="11"/>
        <v>36975500</v>
      </c>
      <c r="N32" s="2">
        <f t="shared" si="12"/>
        <v>19629991.352519747</v>
      </c>
      <c r="O32" s="1">
        <f t="shared" si="10"/>
        <v>53.089184331570216</v>
      </c>
      <c r="P32" s="17">
        <v>126760000</v>
      </c>
      <c r="Q32" s="17">
        <v>70218000</v>
      </c>
      <c r="R32" s="2">
        <f t="shared" si="13"/>
        <v>98489000</v>
      </c>
      <c r="S32" s="2">
        <f t="shared" si="14"/>
        <v>39981231.621849768</v>
      </c>
      <c r="T32" s="1">
        <f t="shared" si="15"/>
        <v>40.59461627374607</v>
      </c>
      <c r="U32" s="11">
        <f>R32/M32</f>
        <v>2.6636286189503862</v>
      </c>
    </row>
    <row r="33" spans="1:21" x14ac:dyDescent="0.25">
      <c r="A33" s="1">
        <f t="shared" si="9"/>
        <v>3.2693413139531322</v>
      </c>
      <c r="B33" s="1">
        <v>1.7090000000000001</v>
      </c>
      <c r="C33" s="1" t="s">
        <v>159</v>
      </c>
      <c r="D33" s="3" t="s">
        <v>160</v>
      </c>
      <c r="E33" s="1" t="s">
        <v>161</v>
      </c>
      <c r="F33" s="1" t="s">
        <v>160</v>
      </c>
      <c r="G33" s="1" t="s">
        <v>162</v>
      </c>
      <c r="H33" s="1" t="s">
        <v>163</v>
      </c>
      <c r="I33" s="1" t="s">
        <v>5</v>
      </c>
      <c r="J33" s="1" t="s">
        <v>17</v>
      </c>
      <c r="K33" s="5">
        <v>0</v>
      </c>
      <c r="L33" s="7">
        <v>4266100</v>
      </c>
      <c r="M33" s="2">
        <f t="shared" si="11"/>
        <v>2133050</v>
      </c>
      <c r="N33" s="2">
        <f t="shared" si="12"/>
        <v>3016588.2392199305</v>
      </c>
      <c r="O33" s="1">
        <f t="shared" si="10"/>
        <v>141.42135623730951</v>
      </c>
      <c r="P33" s="17">
        <v>9570200</v>
      </c>
      <c r="Q33" s="17">
        <v>4380300</v>
      </c>
      <c r="R33" s="2">
        <f t="shared" si="13"/>
        <v>6975250</v>
      </c>
      <c r="S33" s="2">
        <f t="shared" si="14"/>
        <v>3669813.4836800629</v>
      </c>
      <c r="T33" s="1">
        <f t="shared" si="15"/>
        <v>52.611927653920119</v>
      </c>
      <c r="U33" s="11">
        <f>R33/M33</f>
        <v>3.2700827453646188</v>
      </c>
    </row>
    <row r="34" spans="1:21" x14ac:dyDescent="0.25">
      <c r="A34" s="1">
        <f t="shared" si="9"/>
        <v>3.3916798585325911</v>
      </c>
      <c r="B34" s="1">
        <v>1.762</v>
      </c>
      <c r="C34" s="1" t="s">
        <v>164</v>
      </c>
      <c r="D34" s="3" t="s">
        <v>165</v>
      </c>
      <c r="E34" s="1" t="s">
        <v>166</v>
      </c>
      <c r="F34" s="1" t="s">
        <v>165</v>
      </c>
      <c r="G34" s="1" t="s">
        <v>167</v>
      </c>
      <c r="H34" s="3"/>
      <c r="I34" s="1" t="s">
        <v>5</v>
      </c>
      <c r="J34" s="1" t="s">
        <v>17</v>
      </c>
      <c r="K34" s="5">
        <v>0</v>
      </c>
      <c r="L34" s="6">
        <v>148290000</v>
      </c>
      <c r="M34" s="2">
        <f t="shared" si="11"/>
        <v>74145000</v>
      </c>
      <c r="N34" s="2">
        <f t="shared" si="12"/>
        <v>104856864.58215313</v>
      </c>
      <c r="O34" s="1">
        <f t="shared" si="10"/>
        <v>141.42135623730948</v>
      </c>
      <c r="P34" s="17">
        <v>251200000</v>
      </c>
      <c r="Q34" s="17">
        <v>251840000</v>
      </c>
      <c r="R34" s="2">
        <f t="shared" si="13"/>
        <v>251520000</v>
      </c>
      <c r="S34" s="2">
        <f t="shared" si="14"/>
        <v>452548.3399593904</v>
      </c>
      <c r="T34" s="1">
        <f t="shared" si="15"/>
        <v>0.17992538961489757</v>
      </c>
      <c r="U34" s="11">
        <f>R34/M34</f>
        <v>3.3922718996560794</v>
      </c>
    </row>
    <row r="35" spans="1:21" x14ac:dyDescent="0.25">
      <c r="A35" s="1">
        <f t="shared" si="9"/>
        <v>3.4822022531844965</v>
      </c>
      <c r="B35" s="1">
        <v>1.8</v>
      </c>
      <c r="C35" s="1" t="s">
        <v>168</v>
      </c>
      <c r="D35" s="3" t="s">
        <v>169</v>
      </c>
      <c r="E35" s="1" t="s">
        <v>170</v>
      </c>
      <c r="F35" s="1" t="s">
        <v>169</v>
      </c>
      <c r="G35" s="1" t="s">
        <v>171</v>
      </c>
      <c r="H35" s="1" t="s">
        <v>172</v>
      </c>
      <c r="I35" s="1" t="s">
        <v>5</v>
      </c>
      <c r="J35" s="1" t="s">
        <v>17</v>
      </c>
      <c r="K35" s="5">
        <v>0</v>
      </c>
      <c r="L35" s="6">
        <v>663200000</v>
      </c>
      <c r="M35" s="2">
        <f t="shared" si="11"/>
        <v>331600000</v>
      </c>
      <c r="N35" s="2">
        <f t="shared" si="12"/>
        <v>468953217.28291833</v>
      </c>
      <c r="O35" s="1">
        <f t="shared" si="10"/>
        <v>141.42135623730951</v>
      </c>
      <c r="P35" s="17">
        <v>21871000</v>
      </c>
      <c r="Q35" s="17">
        <v>2287300000</v>
      </c>
      <c r="R35" s="2">
        <f t="shared" si="13"/>
        <v>1154585500</v>
      </c>
      <c r="S35" s="2">
        <f t="shared" si="14"/>
        <v>1601900208.1966593</v>
      </c>
      <c r="T35" s="1">
        <f t="shared" si="15"/>
        <v>138.74244983993472</v>
      </c>
      <c r="U35" s="11">
        <f>R35/M35</f>
        <v>3.4818621833534378</v>
      </c>
    </row>
    <row r="36" spans="1:21" x14ac:dyDescent="0.25">
      <c r="A36" s="1">
        <f t="shared" si="9"/>
        <v>3.5015653187770561</v>
      </c>
      <c r="B36" s="1">
        <v>1.8080000000000001</v>
      </c>
      <c r="C36" s="1" t="s">
        <v>173</v>
      </c>
      <c r="D36" s="1" t="s">
        <v>174</v>
      </c>
      <c r="E36" s="1" t="s">
        <v>175</v>
      </c>
      <c r="F36" s="1" t="s">
        <v>174</v>
      </c>
      <c r="G36" s="1" t="s">
        <v>176</v>
      </c>
      <c r="H36" s="3"/>
      <c r="I36" s="1" t="s">
        <v>5</v>
      </c>
      <c r="J36" s="1" t="s">
        <v>17</v>
      </c>
      <c r="K36" s="1">
        <v>4642900</v>
      </c>
      <c r="L36" s="6">
        <v>95298000</v>
      </c>
      <c r="M36" s="2">
        <f t="shared" si="11"/>
        <v>49970450</v>
      </c>
      <c r="N36" s="2">
        <f t="shared" si="12"/>
        <v>64102835.959144585</v>
      </c>
      <c r="O36" s="1">
        <f t="shared" si="10"/>
        <v>128.28148627667869</v>
      </c>
      <c r="P36" s="17">
        <v>22127000</v>
      </c>
      <c r="Q36" s="17">
        <v>327920000</v>
      </c>
      <c r="R36" s="2">
        <f t="shared" si="13"/>
        <v>175023500</v>
      </c>
      <c r="S36" s="2">
        <f t="shared" si="14"/>
        <v>216228303.93937793</v>
      </c>
      <c r="T36" s="1">
        <f t="shared" si="15"/>
        <v>123.54244083758921</v>
      </c>
      <c r="U36" s="11">
        <f>R36/M36</f>
        <v>3.502540001140674</v>
      </c>
    </row>
    <row r="37" spans="1:21" x14ac:dyDescent="0.25">
      <c r="A37" s="1">
        <f t="shared" si="9"/>
        <v>3.8583927383365531</v>
      </c>
      <c r="B37" s="1">
        <v>1.948</v>
      </c>
      <c r="C37" s="1" t="s">
        <v>177</v>
      </c>
      <c r="D37" s="3" t="s">
        <v>178</v>
      </c>
      <c r="E37" s="1" t="s">
        <v>179</v>
      </c>
      <c r="F37" s="1" t="s">
        <v>178</v>
      </c>
      <c r="G37" s="1" t="s">
        <v>180</v>
      </c>
      <c r="H37" s="3"/>
      <c r="I37" s="1" t="s">
        <v>5</v>
      </c>
      <c r="J37" s="1" t="s">
        <v>17</v>
      </c>
      <c r="K37" s="5">
        <v>0</v>
      </c>
      <c r="L37" s="6">
        <v>76180000</v>
      </c>
      <c r="M37" s="2">
        <f t="shared" si="11"/>
        <v>38090000</v>
      </c>
      <c r="N37" s="2">
        <f t="shared" si="12"/>
        <v>53867394.590791188</v>
      </c>
      <c r="O37" s="1">
        <f t="shared" si="10"/>
        <v>141.42135623730948</v>
      </c>
      <c r="P37" s="17">
        <v>38392000</v>
      </c>
      <c r="Q37" s="17">
        <v>255600000</v>
      </c>
      <c r="R37" s="2">
        <f t="shared" si="13"/>
        <v>146996000</v>
      </c>
      <c r="S37" s="2">
        <f t="shared" si="14"/>
        <v>153589249.72796762</v>
      </c>
      <c r="T37" s="1">
        <f t="shared" si="15"/>
        <v>104.48532594626224</v>
      </c>
      <c r="U37" s="11">
        <f>R37/M37</f>
        <v>3.8591756366500394</v>
      </c>
    </row>
    <row r="38" spans="1:21" x14ac:dyDescent="0.25">
      <c r="A38" s="3">
        <f t="shared" si="9"/>
        <v>5.0982425092770489</v>
      </c>
      <c r="B38" s="1">
        <v>2.35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185</v>
      </c>
      <c r="H38" s="1" t="s">
        <v>186</v>
      </c>
      <c r="I38" s="1" t="s">
        <v>5</v>
      </c>
      <c r="J38" s="1" t="s">
        <v>17</v>
      </c>
      <c r="K38" s="2">
        <v>2644700000</v>
      </c>
      <c r="L38" s="2">
        <v>5661500000</v>
      </c>
      <c r="M38" s="2">
        <f t="shared" si="11"/>
        <v>4153100000</v>
      </c>
      <c r="N38" s="2">
        <f t="shared" si="12"/>
        <v>2133199737.4835765</v>
      </c>
      <c r="O38" s="1">
        <f t="shared" si="10"/>
        <v>51.36403499755788</v>
      </c>
      <c r="P38" s="12">
        <v>10906000000</v>
      </c>
      <c r="Q38" s="12">
        <v>2750900000</v>
      </c>
      <c r="R38" s="2">
        <f t="shared" si="13"/>
        <v>6828450000</v>
      </c>
      <c r="S38" s="2">
        <f t="shared" si="14"/>
        <v>5766526511.2544136</v>
      </c>
      <c r="T38" s="1">
        <f t="shared" si="15"/>
        <v>84.448542659819054</v>
      </c>
      <c r="U38" s="13">
        <f>R38/M38</f>
        <v>1.6441814548168838</v>
      </c>
    </row>
    <row r="39" spans="1:21" x14ac:dyDescent="0.25">
      <c r="A39" s="1">
        <f t="shared" si="9"/>
        <v>6.6529767869992504</v>
      </c>
      <c r="B39" s="1">
        <v>2.734</v>
      </c>
      <c r="C39" s="1" t="s">
        <v>187</v>
      </c>
      <c r="D39" s="1" t="s">
        <v>188</v>
      </c>
      <c r="E39" s="1" t="s">
        <v>189</v>
      </c>
      <c r="F39" s="1" t="s">
        <v>190</v>
      </c>
      <c r="G39" s="1" t="s">
        <v>191</v>
      </c>
      <c r="H39" s="1" t="s">
        <v>192</v>
      </c>
      <c r="I39" s="1" t="s">
        <v>5</v>
      </c>
      <c r="J39" s="1" t="s">
        <v>17</v>
      </c>
      <c r="K39" s="2">
        <v>156370000</v>
      </c>
      <c r="L39" s="2">
        <v>53963000</v>
      </c>
      <c r="M39" s="2">
        <f t="shared" si="11"/>
        <v>105166500</v>
      </c>
      <c r="N39" s="2">
        <f t="shared" si="12"/>
        <v>72412684.140970767</v>
      </c>
      <c r="O39" s="1">
        <f t="shared" si="10"/>
        <v>68.855276291376782</v>
      </c>
      <c r="P39" s="12">
        <v>314990000</v>
      </c>
      <c r="Q39" s="12">
        <v>1084200000</v>
      </c>
      <c r="R39" s="2">
        <f t="shared" si="13"/>
        <v>699595000</v>
      </c>
      <c r="S39" s="2">
        <f t="shared" si="14"/>
        <v>543913607.15650427</v>
      </c>
      <c r="T39" s="1">
        <f t="shared" si="15"/>
        <v>77.746926029560569</v>
      </c>
      <c r="U39" s="11">
        <f>R39/M39</f>
        <v>6.6522609386068758</v>
      </c>
    </row>
    <row r="40" spans="1:21" x14ac:dyDescent="0.25">
      <c r="A40" s="1">
        <f t="shared" si="9"/>
        <v>8.2420316289605964</v>
      </c>
      <c r="B40" s="1">
        <v>3.0430000000000001</v>
      </c>
      <c r="C40" s="1" t="s">
        <v>193</v>
      </c>
      <c r="D40" s="3" t="s">
        <v>194</v>
      </c>
      <c r="E40" s="1" t="s">
        <v>195</v>
      </c>
      <c r="F40" s="1" t="s">
        <v>194</v>
      </c>
      <c r="G40" s="1" t="s">
        <v>196</v>
      </c>
      <c r="H40" s="1" t="s">
        <v>197</v>
      </c>
      <c r="I40" s="1" t="s">
        <v>5</v>
      </c>
      <c r="J40" s="1" t="s">
        <v>6</v>
      </c>
      <c r="K40" s="2">
        <v>34084000</v>
      </c>
      <c r="L40" s="5">
        <v>0</v>
      </c>
      <c r="M40" s="2">
        <f t="shared" si="11"/>
        <v>17042000</v>
      </c>
      <c r="N40" s="2">
        <f t="shared" si="12"/>
        <v>24101027.529962286</v>
      </c>
      <c r="O40" s="1">
        <f t="shared" si="10"/>
        <v>141.42135623730951</v>
      </c>
      <c r="P40" s="12">
        <v>121870000</v>
      </c>
      <c r="Q40" s="12">
        <v>159050000</v>
      </c>
      <c r="R40" s="2">
        <f t="shared" si="13"/>
        <v>140460000</v>
      </c>
      <c r="S40" s="2">
        <f t="shared" si="14"/>
        <v>26290230.124515835</v>
      </c>
      <c r="T40" s="1">
        <f t="shared" si="15"/>
        <v>18.717236312484577</v>
      </c>
      <c r="U40" s="11">
        <f>R40/M40</f>
        <v>8.2419903767163483</v>
      </c>
    </row>
    <row r="41" spans="1:21" x14ac:dyDescent="0.25">
      <c r="A41" s="3">
        <f t="shared" si="9"/>
        <v>12.906268147554021</v>
      </c>
      <c r="B41" s="1">
        <v>3.69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203</v>
      </c>
      <c r="I41" s="1" t="s">
        <v>5</v>
      </c>
      <c r="J41" s="1" t="s">
        <v>17</v>
      </c>
      <c r="K41" s="2">
        <v>22614000</v>
      </c>
      <c r="L41" s="2">
        <v>2558200000</v>
      </c>
      <c r="M41" s="2">
        <f t="shared" si="11"/>
        <v>1290407000</v>
      </c>
      <c r="N41" s="2">
        <f t="shared" si="12"/>
        <v>1792930054.8816733</v>
      </c>
      <c r="O41" s="1">
        <f t="shared" si="10"/>
        <v>138.94298890828037</v>
      </c>
      <c r="P41" s="12">
        <v>87400000</v>
      </c>
      <c r="Q41" s="12">
        <v>1105500000</v>
      </c>
      <c r="R41" s="2">
        <f t="shared" si="13"/>
        <v>596450000</v>
      </c>
      <c r="S41" s="2">
        <f t="shared" si="14"/>
        <v>719905413.92602408</v>
      </c>
      <c r="T41" s="1">
        <f t="shared" si="15"/>
        <v>120.69836766301016</v>
      </c>
      <c r="U41" s="13">
        <f>R41/M41</f>
        <v>0.46221850935402553</v>
      </c>
    </row>
    <row r="42" spans="1:21" x14ac:dyDescent="0.25">
      <c r="A42" s="1">
        <f t="shared" si="9"/>
        <v>21.406840876577792</v>
      </c>
      <c r="B42" s="1">
        <v>4.42</v>
      </c>
      <c r="C42" s="1" t="s">
        <v>204</v>
      </c>
      <c r="D42" s="1" t="s">
        <v>205</v>
      </c>
      <c r="E42" s="1" t="s">
        <v>206</v>
      </c>
      <c r="F42" s="1" t="s">
        <v>205</v>
      </c>
      <c r="G42" s="1" t="s">
        <v>207</v>
      </c>
      <c r="H42" s="1" t="s">
        <v>208</v>
      </c>
      <c r="I42" s="1" t="s">
        <v>5</v>
      </c>
      <c r="J42" s="1" t="s">
        <v>17</v>
      </c>
      <c r="K42" s="2">
        <v>12124000</v>
      </c>
      <c r="L42" s="8">
        <v>0</v>
      </c>
      <c r="M42" s="2">
        <f t="shared" si="11"/>
        <v>6062000</v>
      </c>
      <c r="N42" s="2">
        <f t="shared" si="12"/>
        <v>8572962.6151057016</v>
      </c>
      <c r="O42" s="1">
        <f t="shared" si="10"/>
        <v>141.42135623730948</v>
      </c>
      <c r="P42" s="12">
        <v>117360000</v>
      </c>
      <c r="Q42" s="12">
        <v>142110000</v>
      </c>
      <c r="R42" s="2">
        <f t="shared" si="13"/>
        <v>129735000</v>
      </c>
      <c r="S42" s="2">
        <f t="shared" si="14"/>
        <v>17500892.834367052</v>
      </c>
      <c r="T42" s="1">
        <f t="shared" si="15"/>
        <v>13.489723539805798</v>
      </c>
      <c r="U42" s="11">
        <f>R42/M42</f>
        <v>21.401352688881556</v>
      </c>
    </row>
    <row r="43" spans="1:21" x14ac:dyDescent="0.25">
      <c r="A43" s="3">
        <f>2^B43</f>
        <v>0.37971792245363245</v>
      </c>
      <c r="B43" s="1">
        <v>-1.397</v>
      </c>
      <c r="C43" s="1" t="s">
        <v>209</v>
      </c>
      <c r="D43" s="4" t="s">
        <v>210</v>
      </c>
      <c r="E43" s="1" t="s">
        <v>211</v>
      </c>
      <c r="F43" s="1" t="s">
        <v>210</v>
      </c>
      <c r="G43" s="1" t="s">
        <v>212</v>
      </c>
      <c r="H43" s="1" t="s">
        <v>213</v>
      </c>
      <c r="I43" s="1" t="s">
        <v>5</v>
      </c>
      <c r="J43" s="1" t="s">
        <v>80</v>
      </c>
      <c r="K43" s="2">
        <v>108120000</v>
      </c>
      <c r="L43" s="2">
        <v>1435800000</v>
      </c>
      <c r="M43" s="2">
        <f t="shared" ref="M43" si="16">AVERAGE(K43,L43)</f>
        <v>771960000</v>
      </c>
      <c r="N43" s="2">
        <f t="shared" ref="N43" si="17">STDEV(K43:L43)</f>
        <v>938811531.24575543</v>
      </c>
      <c r="O43" s="1">
        <f t="shared" ref="O43" si="18">(N43/M43)*100</f>
        <v>121.61401254543701</v>
      </c>
      <c r="P43" s="12">
        <v>216950000</v>
      </c>
      <c r="Q43" s="12">
        <v>1265200000</v>
      </c>
      <c r="R43" s="2">
        <f t="shared" ref="R43" si="19">AVERAGE(P43,Q43)</f>
        <v>741075000</v>
      </c>
      <c r="S43" s="2">
        <f t="shared" ref="S43" si="20">STDEV(P43:Q43)</f>
        <v>741224683.37879848</v>
      </c>
      <c r="T43" s="1">
        <f t="shared" ref="T43" si="21">(S43/R43)*100</f>
        <v>100.02019814172634</v>
      </c>
      <c r="U43" s="13">
        <f>R43/M43</f>
        <v>0.95999145033421418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Shakik, Abrar</dc:creator>
  <cp:keywords/>
  <dc:description/>
  <cp:lastModifiedBy>Shakik, Abrar</cp:lastModifiedBy>
  <cp:revision/>
  <dcterms:created xsi:type="dcterms:W3CDTF">2025-11-20T22:44:13Z</dcterms:created>
  <dcterms:modified xsi:type="dcterms:W3CDTF">2025-12-14T02:39:09Z</dcterms:modified>
  <cp:category/>
  <cp:contentStatus/>
</cp:coreProperties>
</file>