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974_psu_edu/Documents/GitHub Proteomics/Proteomics/"/>
    </mc:Choice>
  </mc:AlternateContent>
  <xr:revisionPtr revIDLastSave="9" documentId="13_ncr:1_{B2AF9764-52F3-634F-AFA4-A2C6428B64FD}" xr6:coauthVersionLast="47" xr6:coauthVersionMax="47" xr10:uidLastSave="{7B805290-D976-834F-ACB3-C964C775F4CB}"/>
  <bookViews>
    <workbookView xWindow="0" yWindow="920" windowWidth="34200" windowHeight="20600" xr2:uid="{C2C3B5A2-D468-954C-9FF3-242069505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T33" i="1"/>
  <c r="U33" i="1"/>
  <c r="V33" i="1" s="1"/>
  <c r="N33" i="1"/>
  <c r="O33" i="1"/>
  <c r="P33" i="1" s="1"/>
  <c r="T32" i="1"/>
  <c r="U32" i="1"/>
  <c r="V32" i="1" s="1"/>
  <c r="T34" i="1"/>
  <c r="U34" i="1"/>
  <c r="V34" i="1" s="1"/>
  <c r="T35" i="1"/>
  <c r="U35" i="1"/>
  <c r="T36" i="1"/>
  <c r="U36" i="1"/>
  <c r="N32" i="1"/>
  <c r="O32" i="1"/>
  <c r="P32" i="1" s="1"/>
  <c r="N34" i="1"/>
  <c r="O34" i="1"/>
  <c r="N35" i="1"/>
  <c r="O35" i="1"/>
  <c r="P35" i="1" s="1"/>
  <c r="N36" i="1"/>
  <c r="O36" i="1"/>
  <c r="A34" i="1"/>
  <c r="A33" i="1"/>
  <c r="A32" i="1"/>
  <c r="A35" i="1"/>
  <c r="A36" i="1"/>
  <c r="W32" i="1" l="1"/>
  <c r="V35" i="1"/>
  <c r="W34" i="1"/>
  <c r="W33" i="1"/>
  <c r="P36" i="1"/>
  <c r="W35" i="1"/>
  <c r="V36" i="1"/>
  <c r="P34" i="1"/>
  <c r="W36" i="1"/>
  <c r="T37" i="1"/>
  <c r="U37" i="1"/>
  <c r="V37" i="1" s="1"/>
  <c r="T38" i="1"/>
  <c r="U38" i="1"/>
  <c r="T39" i="1"/>
  <c r="U39" i="1"/>
  <c r="V39" i="1" s="1"/>
  <c r="N37" i="1"/>
  <c r="W37" i="1" s="1"/>
  <c r="O37" i="1"/>
  <c r="P37" i="1" s="1"/>
  <c r="N38" i="1"/>
  <c r="O38" i="1"/>
  <c r="N39" i="1"/>
  <c r="W39" i="1" s="1"/>
  <c r="O39" i="1"/>
  <c r="A37" i="1"/>
  <c r="A38" i="1"/>
  <c r="A39" i="1"/>
  <c r="T40" i="1"/>
  <c r="U40" i="1"/>
  <c r="N40" i="1"/>
  <c r="O40" i="1"/>
  <c r="P40" i="1"/>
  <c r="A40" i="1"/>
  <c r="N41" i="1"/>
  <c r="O41" i="1"/>
  <c r="P41" i="1" s="1"/>
  <c r="N42" i="1"/>
  <c r="O42" i="1"/>
  <c r="P42" i="1" s="1"/>
  <c r="T41" i="1"/>
  <c r="U41" i="1"/>
  <c r="T42" i="1"/>
  <c r="U42" i="1"/>
  <c r="V42" i="1" s="1"/>
  <c r="A41" i="1"/>
  <c r="A42" i="1"/>
  <c r="A43" i="1"/>
  <c r="A44" i="1"/>
  <c r="A45" i="1"/>
  <c r="A46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N43" i="1"/>
  <c r="O43" i="1"/>
  <c r="N44" i="1"/>
  <c r="O44" i="1"/>
  <c r="P44" i="1" s="1"/>
  <c r="N45" i="1"/>
  <c r="O45" i="1"/>
  <c r="N46" i="1"/>
  <c r="O46" i="1"/>
  <c r="N47" i="1"/>
  <c r="O47" i="1"/>
  <c r="P47" i="1" s="1"/>
  <c r="N48" i="1"/>
  <c r="O48" i="1"/>
  <c r="N49" i="1"/>
  <c r="O49" i="1"/>
  <c r="A47" i="1"/>
  <c r="A48" i="1"/>
  <c r="A49" i="1"/>
  <c r="A26" i="1"/>
  <c r="A25" i="1"/>
  <c r="A24" i="1"/>
  <c r="A23" i="1"/>
  <c r="T22" i="1"/>
  <c r="U22" i="1"/>
  <c r="N22" i="1"/>
  <c r="O22" i="1"/>
  <c r="A22" i="1"/>
  <c r="T20" i="1"/>
  <c r="U20" i="1"/>
  <c r="T21" i="1"/>
  <c r="U21" i="1"/>
  <c r="N20" i="1"/>
  <c r="O20" i="1"/>
  <c r="N21" i="1"/>
  <c r="O2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4" i="1"/>
  <c r="A21" i="1"/>
  <c r="A20" i="1"/>
  <c r="T18" i="1"/>
  <c r="T19" i="1"/>
  <c r="N18" i="1"/>
  <c r="N19" i="1"/>
  <c r="A19" i="1"/>
  <c r="A18" i="1"/>
  <c r="N17" i="1"/>
  <c r="T17" i="1"/>
  <c r="A17" i="1"/>
  <c r="T16" i="1"/>
  <c r="N16" i="1"/>
  <c r="A16" i="1"/>
  <c r="T51" i="1"/>
  <c r="U51" i="1"/>
  <c r="N51" i="1"/>
  <c r="O51" i="1"/>
  <c r="A51" i="1"/>
  <c r="T15" i="1"/>
  <c r="N15" i="1"/>
  <c r="A15" i="1"/>
  <c r="T14" i="1"/>
  <c r="N14" i="1"/>
  <c r="A14" i="1"/>
  <c r="T13" i="1"/>
  <c r="N13" i="1"/>
  <c r="P13" i="1" s="1"/>
  <c r="A13" i="1"/>
  <c r="T12" i="1"/>
  <c r="V12" i="1" s="1"/>
  <c r="N12" i="1"/>
  <c r="P12" i="1" s="1"/>
  <c r="A12" i="1"/>
  <c r="T10" i="1"/>
  <c r="V10" i="1" s="1"/>
  <c r="T11" i="1"/>
  <c r="N10" i="1"/>
  <c r="N11" i="1"/>
  <c r="A11" i="1"/>
  <c r="A10" i="1"/>
  <c r="T9" i="1"/>
  <c r="N9" i="1"/>
  <c r="P9" i="1" s="1"/>
  <c r="A9" i="1"/>
  <c r="T5" i="1"/>
  <c r="V5" i="1" s="1"/>
  <c r="T6" i="1"/>
  <c r="T7" i="1"/>
  <c r="T8" i="1"/>
  <c r="V8" i="1" s="1"/>
  <c r="T4" i="1"/>
  <c r="N7" i="1"/>
  <c r="N8" i="1"/>
  <c r="P8" i="1" s="1"/>
  <c r="A8" i="1"/>
  <c r="A4" i="1"/>
  <c r="A7" i="1"/>
  <c r="N6" i="1"/>
  <c r="P6" i="1" s="1"/>
  <c r="A6" i="1"/>
  <c r="N5" i="1"/>
  <c r="W40" i="1" l="1"/>
  <c r="V40" i="1"/>
  <c r="V38" i="1"/>
  <c r="W42" i="1"/>
  <c r="P38" i="1"/>
  <c r="W38" i="1"/>
  <c r="P39" i="1"/>
  <c r="V41" i="1"/>
  <c r="P15" i="1"/>
  <c r="W41" i="1"/>
  <c r="P46" i="1"/>
  <c r="P43" i="1"/>
  <c r="V49" i="1"/>
  <c r="W17" i="1"/>
  <c r="P21" i="1"/>
  <c r="P45" i="1"/>
  <c r="V22" i="1"/>
  <c r="P22" i="1"/>
  <c r="P18" i="1"/>
  <c r="V48" i="1"/>
  <c r="P48" i="1"/>
  <c r="W46" i="1"/>
  <c r="W43" i="1"/>
  <c r="V7" i="1"/>
  <c r="W16" i="1"/>
  <c r="W20" i="1"/>
  <c r="W47" i="1"/>
  <c r="W48" i="1"/>
  <c r="V21" i="1"/>
  <c r="P49" i="1"/>
  <c r="V47" i="1"/>
  <c r="V44" i="1"/>
  <c r="V45" i="1"/>
  <c r="W49" i="1"/>
  <c r="V9" i="1"/>
  <c r="V18" i="1"/>
  <c r="V43" i="1"/>
  <c r="V46" i="1"/>
  <c r="W44" i="1"/>
  <c r="W45" i="1"/>
  <c r="W21" i="1"/>
  <c r="V20" i="1"/>
  <c r="W13" i="1"/>
  <c r="P14" i="1"/>
  <c r="W14" i="1"/>
  <c r="V19" i="1"/>
  <c r="P17" i="1"/>
  <c r="P16" i="1"/>
  <c r="W18" i="1"/>
  <c r="V17" i="1"/>
  <c r="V14" i="1"/>
  <c r="W19" i="1"/>
  <c r="W9" i="1"/>
  <c r="P51" i="1"/>
  <c r="W12" i="1"/>
  <c r="V16" i="1"/>
  <c r="W22" i="1"/>
  <c r="W15" i="1"/>
  <c r="P19" i="1"/>
  <c r="P20" i="1"/>
  <c r="W10" i="1"/>
  <c r="W7" i="1"/>
  <c r="P10" i="1"/>
  <c r="W6" i="1"/>
  <c r="V51" i="1"/>
  <c r="W8" i="1"/>
  <c r="W5" i="1"/>
  <c r="V15" i="1"/>
  <c r="W11" i="1"/>
  <c r="P11" i="1"/>
  <c r="P5" i="1"/>
  <c r="V6" i="1"/>
  <c r="V11" i="1"/>
  <c r="V13" i="1"/>
  <c r="W51" i="1"/>
  <c r="N4" i="1"/>
  <c r="W4" i="1" s="1"/>
  <c r="P4" i="1" l="1"/>
  <c r="A5" i="1"/>
</calcChain>
</file>

<file path=xl/sharedStrings.xml><?xml version="1.0" encoding="utf-8"?>
<sst xmlns="http://schemas.openxmlformats.org/spreadsheetml/2006/main" count="345" uniqueCount="226">
  <si>
    <t>P01132</t>
  </si>
  <si>
    <t>EGF</t>
  </si>
  <si>
    <t>epidermal growth factor</t>
  </si>
  <si>
    <t>0610011K11Rik, Fbln4, MBP1</t>
  </si>
  <si>
    <t>MGI:96052</t>
  </si>
  <si>
    <t>Extracellular Space</t>
  </si>
  <si>
    <t>growth factor</t>
  </si>
  <si>
    <t>Q61521</t>
  </si>
  <si>
    <t>EREG</t>
  </si>
  <si>
    <t>epiregulin</t>
  </si>
  <si>
    <t>AI790464</t>
  </si>
  <si>
    <t>MGI:108086</t>
  </si>
  <si>
    <t>intensity</t>
  </si>
  <si>
    <t>mean</t>
  </si>
  <si>
    <t>SD</t>
  </si>
  <si>
    <t>SD % of mean</t>
  </si>
  <si>
    <t xml:space="preserve">Intensity </t>
  </si>
  <si>
    <t>P22005</t>
  </si>
  <si>
    <t>PENK</t>
  </si>
  <si>
    <t>proenkephalin</t>
  </si>
  <si>
    <t>AI326464, ENK, PPA, Penk1</t>
  </si>
  <si>
    <t>MGI:103292</t>
  </si>
  <si>
    <t>other</t>
  </si>
  <si>
    <t>P12850</t>
  </si>
  <si>
    <t>CXCL2</t>
  </si>
  <si>
    <t>C-X-C motif chemokine ligand 2</t>
  </si>
  <si>
    <t>CysC</t>
  </si>
  <si>
    <t>MGI:95713</t>
  </si>
  <si>
    <t>cytokine</t>
  </si>
  <si>
    <t>Q03366</t>
  </si>
  <si>
    <t>Ccl7</t>
  </si>
  <si>
    <t>chemokine (C-C motif) ligand 7</t>
  </si>
  <si>
    <t>CCL7</t>
  </si>
  <si>
    <t>AI323594, HC11, JE, MCAF, MCP-1</t>
  </si>
  <si>
    <t>MGI:1355321</t>
  </si>
  <si>
    <t>fold chenge</t>
  </si>
  <si>
    <t>P10148</t>
  </si>
  <si>
    <t>Ccl2</t>
  </si>
  <si>
    <t>chemokine (C-C motif) ligand 2</t>
  </si>
  <si>
    <t>CCL2</t>
  </si>
  <si>
    <t>AI848962</t>
  </si>
  <si>
    <t>MGI:1202065</t>
  </si>
  <si>
    <t>Q8JZQ5</t>
  </si>
  <si>
    <t>AOC1</t>
  </si>
  <si>
    <t>amine oxidase copper containing 1</t>
  </si>
  <si>
    <t>1600012D06Rik, Abp1, DAO</t>
  </si>
  <si>
    <t>MGI:109349</t>
  </si>
  <si>
    <t>enzyme</t>
  </si>
  <si>
    <t>P17125</t>
  </si>
  <si>
    <t>TGFB3</t>
  </si>
  <si>
    <t>transforming growth factor beta 3</t>
  </si>
  <si>
    <t>TGF-beta-3, Tgfb-3</t>
  </si>
  <si>
    <t>P28653</t>
  </si>
  <si>
    <t>BGN</t>
  </si>
  <si>
    <t>biglycan</t>
  </si>
  <si>
    <t>BG, DSPG1, PG-S1, PGI, SLRR1A</t>
  </si>
  <si>
    <t>MGI:1096330</t>
  </si>
  <si>
    <t>Q9Z0J7</t>
  </si>
  <si>
    <t>GDF15</t>
  </si>
  <si>
    <t>growth differentiation factor 15</t>
  </si>
  <si>
    <t>Gas-6</t>
  </si>
  <si>
    <t>MGI:96705</t>
  </si>
  <si>
    <t>Q9DAI2</t>
  </si>
  <si>
    <t>IFT22</t>
  </si>
  <si>
    <t>intraflagellar transport 22</t>
  </si>
  <si>
    <t>2900042B11Rik, IFT25, PP25</t>
  </si>
  <si>
    <t>MGI:97180</t>
  </si>
  <si>
    <t>P04202</t>
  </si>
  <si>
    <t>TGFB1</t>
  </si>
  <si>
    <t>transforming growth factor beta 1</t>
  </si>
  <si>
    <t>TGF-beta1, TGFbeta1, Tgfb, Tgfb-1</t>
  </si>
  <si>
    <t>P98063</t>
  </si>
  <si>
    <t>BMP1</t>
  </si>
  <si>
    <t>bone morphogenetic protein 1</t>
  </si>
  <si>
    <t>Pcp, Tld</t>
  </si>
  <si>
    <t>MGI:1329034</t>
  </si>
  <si>
    <t>peptidase</t>
  </si>
  <si>
    <t>P21570</t>
  </si>
  <si>
    <t>ANG</t>
  </si>
  <si>
    <t>angiogenin</t>
  </si>
  <si>
    <t>AI385586, Ang1, Rnase5, Rnase5a</t>
  </si>
  <si>
    <t>MGI:99473</t>
  </si>
  <si>
    <t>Q00724</t>
  </si>
  <si>
    <t>RBP4</t>
  </si>
  <si>
    <t>retinol binding protein 4</t>
  </si>
  <si>
    <t>Rbp-4</t>
  </si>
  <si>
    <t>MGI:98835</t>
  </si>
  <si>
    <t>Testosterone</t>
  </si>
  <si>
    <t>Q8C0F9</t>
  </si>
  <si>
    <t>PRSS35</t>
  </si>
  <si>
    <t>serine protease 35</t>
  </si>
  <si>
    <t>6030424L22Rik, P3D9</t>
  </si>
  <si>
    <t>MGI:103036</t>
  </si>
  <si>
    <t>P50228</t>
  </si>
  <si>
    <t>CXCL6</t>
  </si>
  <si>
    <t>C-X-C motif chemokine ligand 6</t>
  </si>
  <si>
    <t>CINC-2a, GROb, Gro2, MIP-2, MIP-2a</t>
  </si>
  <si>
    <t>MGI:95819</t>
  </si>
  <si>
    <t>CXCL5</t>
  </si>
  <si>
    <t>P11859</t>
  </si>
  <si>
    <t>AGT</t>
  </si>
  <si>
    <t>angiotensinogen</t>
  </si>
  <si>
    <t>AI265500, AngI, AngII, Aogen, Serpina8</t>
  </si>
  <si>
    <t>MGI:1354949</t>
  </si>
  <si>
    <t>P27106</t>
  </si>
  <si>
    <t>AMH</t>
  </si>
  <si>
    <t>anti-Mullerian hormone</t>
  </si>
  <si>
    <t>MIS</t>
  </si>
  <si>
    <t>MGI:87986</t>
  </si>
  <si>
    <t>P48759</t>
  </si>
  <si>
    <t>PTX3</t>
  </si>
  <si>
    <t>pentraxin 3</t>
  </si>
  <si>
    <t>AI607804, TSG-14</t>
  </si>
  <si>
    <t>MGI:103037</t>
  </si>
  <si>
    <t>P08905</t>
  </si>
  <si>
    <t>LYZ</t>
  </si>
  <si>
    <t>lysozyme</t>
  </si>
  <si>
    <t>Lyz, Lyzf3, Lzp-s</t>
  </si>
  <si>
    <t>MGI:97616</t>
  </si>
  <si>
    <t>P19324</t>
  </si>
  <si>
    <t>SERPINH1</t>
  </si>
  <si>
    <t>serpin family H member 1</t>
  </si>
  <si>
    <t>BERF-1, Cbp1, Cbp2, Hsp47, J6</t>
  </si>
  <si>
    <t>Q8K4Z3</t>
  </si>
  <si>
    <t>NAXE</t>
  </si>
  <si>
    <t>NAD(P)HX epimerase</t>
  </si>
  <si>
    <t>AA087124, AI-BP, AIBP, Apoa1bp, Apoa1ip</t>
  </si>
  <si>
    <t>MGI:97810</t>
  </si>
  <si>
    <t>Q921M7</t>
  </si>
  <si>
    <t>CYRIB</t>
  </si>
  <si>
    <t>CYFIP related Rac1 interactor B</t>
  </si>
  <si>
    <t>AMCF-II, Cxcl6, ENA-78, GCP-2, LIX</t>
  </si>
  <si>
    <t>P97401</t>
  </si>
  <si>
    <t>FRZB</t>
  </si>
  <si>
    <t>frizzled related protein</t>
  </si>
  <si>
    <t>AI536462, B430209H23, Fib-1, Tsk</t>
  </si>
  <si>
    <t>MGI:96433</t>
  </si>
  <si>
    <t>Q03401</t>
  </si>
  <si>
    <t>Crisp1/Crisp3</t>
  </si>
  <si>
    <t>cysteine-rich secretory protein 1</t>
  </si>
  <si>
    <t>CRISP1</t>
  </si>
  <si>
    <t>AU015004</t>
  </si>
  <si>
    <t>MGI:95558</t>
  </si>
  <si>
    <t>Q61592</t>
  </si>
  <si>
    <t>GAS6</t>
  </si>
  <si>
    <t>growth arrest specific 6</t>
  </si>
  <si>
    <t>0610025O11Rik, 5530401P20Rik</t>
  </si>
  <si>
    <t>MGI:96612</t>
  </si>
  <si>
    <t>P01029</t>
  </si>
  <si>
    <t>C4A/C4B</t>
  </si>
  <si>
    <t>complement C4A (Rodgers blood group)</t>
  </si>
  <si>
    <t>C4A</t>
  </si>
  <si>
    <t>C4, C4b, Slp, SlpA</t>
  </si>
  <si>
    <t>MGI:103198</t>
  </si>
  <si>
    <t>Q9DAN8</t>
  </si>
  <si>
    <t>Cst12</t>
  </si>
  <si>
    <t>cystatin 12</t>
  </si>
  <si>
    <t>CRISP3</t>
  </si>
  <si>
    <t>AW324342, Aeg1, CRISP-1, SCP 1</t>
  </si>
  <si>
    <t>MGI:107655</t>
  </si>
  <si>
    <t>Q9WVB4</t>
  </si>
  <si>
    <t>SLIT3</t>
  </si>
  <si>
    <t>slit guidance ligand 3</t>
  </si>
  <si>
    <t>Slil2, Slit1, b2b2362.1Clo</t>
  </si>
  <si>
    <t>Extracellular space soluble factors original intensity values from first spreadsheet</t>
  </si>
  <si>
    <t>Q62059</t>
  </si>
  <si>
    <t>VCAN</t>
  </si>
  <si>
    <t>versican</t>
  </si>
  <si>
    <t>5430420N07Rik, 9430051N09, Cspg2, DPEAAE, NG2</t>
  </si>
  <si>
    <t>P51885</t>
  </si>
  <si>
    <t>LUM</t>
  </si>
  <si>
    <t>lumican</t>
  </si>
  <si>
    <t>Ldc, SLRR2D</t>
  </si>
  <si>
    <t>MGI:97615</t>
  </si>
  <si>
    <t>Q07235</t>
  </si>
  <si>
    <t>SERPINE2</t>
  </si>
  <si>
    <t>serpin family E member 2</t>
  </si>
  <si>
    <t>B230326M24Rik, PAI-1, PI-7, PI7, PN-1</t>
  </si>
  <si>
    <t>Q8VC60</t>
  </si>
  <si>
    <t>GLB1L</t>
  </si>
  <si>
    <t>galactosidase beta 1 like</t>
  </si>
  <si>
    <t>MIC-1, NAG-1, SBF</t>
  </si>
  <si>
    <t>MGI:96756</t>
  </si>
  <si>
    <t>P16110</t>
  </si>
  <si>
    <t>LGALS3</t>
  </si>
  <si>
    <t>galectin 3</t>
  </si>
  <si>
    <t>GBP, L-34, Mac-2, gal3</t>
  </si>
  <si>
    <t>MGI:1339975</t>
  </si>
  <si>
    <t>P21460</t>
  </si>
  <si>
    <t>CST3</t>
  </si>
  <si>
    <t>cystatin C</t>
  </si>
  <si>
    <t>CST12</t>
  </si>
  <si>
    <t>Aeg2, CRISP-3, CRS3, SGP28</t>
  </si>
  <si>
    <t>MGI:1890077</t>
  </si>
  <si>
    <t>Q9Z175</t>
  </si>
  <si>
    <t>LOXL3</t>
  </si>
  <si>
    <t>lysyl oxidase like 3</t>
  </si>
  <si>
    <t>Lor2, Loxl2</t>
  </si>
  <si>
    <t>MGI:1339656</t>
  </si>
  <si>
    <t>Q9DC11</t>
  </si>
  <si>
    <t>PLXDC2</t>
  </si>
  <si>
    <t>plexin domain containing 2</t>
  </si>
  <si>
    <t>1200007L24Rik, 5430431D22Rik, AI646728, AU022916, AV231634</t>
  </si>
  <si>
    <t>MGI:1270849</t>
  </si>
  <si>
    <t>P82198</t>
  </si>
  <si>
    <t>TGFBI</t>
  </si>
  <si>
    <t>transforming growth factor beta induced</t>
  </si>
  <si>
    <t>68kDa, AI181842, AI747162, Beta-ig, big-h3</t>
  </si>
  <si>
    <t>Q9CQ45</t>
  </si>
  <si>
    <t>NENF</t>
  </si>
  <si>
    <t>neudesin neurotrophic factor</t>
  </si>
  <si>
    <t>1110060M21Rik, SCIRP10, Spuf</t>
  </si>
  <si>
    <t>MGI:103290</t>
  </si>
  <si>
    <t>Q8BME9</t>
  </si>
  <si>
    <t>CBLN4</t>
  </si>
  <si>
    <t>cerebellin 4 precursor</t>
  </si>
  <si>
    <t>C4, Ss</t>
  </si>
  <si>
    <t>MGI:104772</t>
  </si>
  <si>
    <t>P97298</t>
  </si>
  <si>
    <t>SERPINF1</t>
  </si>
  <si>
    <t>serpin family F member 1</t>
  </si>
  <si>
    <t>AI195227, EPC-1, Pedf, Pedfl, Sdf3</t>
  </si>
  <si>
    <t>UniProt Accession Number</t>
  </si>
  <si>
    <t>log 2 Fold Change</t>
  </si>
  <si>
    <t>log 10 fold change</t>
  </si>
  <si>
    <t>vehicle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</si>
</sst>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5" fontId="3" fillId="0" borderId="0" xfId="1" applyNumberFormat="1" applyFont="1"/>
    <xf numFmtId="164" fontId="3" fillId="0" borderId="0" xfId="1" applyNumberFormat="1" applyFont="1"/>
    <xf numFmtId="165" fontId="0" fillId="0" borderId="0" xfId="1" applyNumberFormat="1" applyFont="1"/>
    <xf numFmtId="164" fontId="0" fillId="3" borderId="0" xfId="1" applyNumberFormat="1" applyFont="1" applyFill="1"/>
    <xf numFmtId="164" fontId="2" fillId="0" borderId="0" xfId="1" applyNumberFormat="1" applyFont="1"/>
    <xf numFmtId="0" fontId="4" fillId="0" borderId="0" xfId="0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D18-A759-FE4A-99E2-20AD45D13029}">
  <dimension ref="A1:W51"/>
  <sheetViews>
    <sheetView tabSelected="1" topLeftCell="B21" zoomScale="104" workbookViewId="0">
      <selection activeCell="V4" sqref="V4"/>
    </sheetView>
  </sheetViews>
  <sheetFormatPr baseColWidth="10" defaultRowHeight="16" x14ac:dyDescent="0.2"/>
  <cols>
    <col min="12" max="13" width="17.6640625" bestFit="1" customWidth="1"/>
    <col min="14" max="14" width="15.33203125" customWidth="1"/>
    <col min="15" max="15" width="15.1640625" customWidth="1"/>
    <col min="18" max="19" width="17.6640625" bestFit="1" customWidth="1"/>
    <col min="20" max="20" width="22.1640625" customWidth="1"/>
    <col min="21" max="21" width="20.83203125" customWidth="1"/>
  </cols>
  <sheetData>
    <row r="1" spans="1:23" x14ac:dyDescent="0.2">
      <c r="L1" s="10" t="s">
        <v>225</v>
      </c>
      <c r="R1" s="10" t="s">
        <v>87</v>
      </c>
    </row>
    <row r="2" spans="1:23" x14ac:dyDescent="0.2">
      <c r="A2" t="s">
        <v>164</v>
      </c>
      <c r="L2" s="11" t="s">
        <v>12</v>
      </c>
      <c r="M2" s="11" t="s">
        <v>12</v>
      </c>
      <c r="N2" s="11"/>
      <c r="O2" s="11"/>
      <c r="P2" s="11"/>
      <c r="Q2" s="11"/>
      <c r="R2" s="11" t="s">
        <v>16</v>
      </c>
      <c r="S2" s="11" t="s">
        <v>16</v>
      </c>
    </row>
    <row r="3" spans="1:23" x14ac:dyDescent="0.2">
      <c r="A3" t="s">
        <v>224</v>
      </c>
      <c r="B3" t="s">
        <v>223</v>
      </c>
      <c r="C3" t="s">
        <v>222</v>
      </c>
      <c r="L3" s="10">
        <v>31579</v>
      </c>
      <c r="M3" s="10">
        <v>31581</v>
      </c>
      <c r="N3" t="s">
        <v>13</v>
      </c>
      <c r="O3" t="s">
        <v>14</v>
      </c>
      <c r="P3" t="s">
        <v>15</v>
      </c>
      <c r="R3" s="10">
        <v>31578</v>
      </c>
      <c r="S3" s="10">
        <v>31580</v>
      </c>
      <c r="T3" t="s">
        <v>13</v>
      </c>
      <c r="U3" t="s">
        <v>14</v>
      </c>
      <c r="V3" t="s">
        <v>15</v>
      </c>
      <c r="W3" t="s">
        <v>35</v>
      </c>
    </row>
    <row r="4" spans="1:23" x14ac:dyDescent="0.2">
      <c r="A4">
        <f t="shared" ref="A4:A26" si="0">2^B4</f>
        <v>1.0000000000000002E-3</v>
      </c>
      <c r="B4">
        <v>-9.965784284662087</v>
      </c>
      <c r="C4" t="s">
        <v>0</v>
      </c>
      <c r="D4" t="s">
        <v>1</v>
      </c>
      <c r="E4" t="s">
        <v>2</v>
      </c>
      <c r="F4" t="s">
        <v>1</v>
      </c>
      <c r="G4" t="s">
        <v>3</v>
      </c>
      <c r="H4" t="s">
        <v>4</v>
      </c>
      <c r="I4" t="s">
        <v>5</v>
      </c>
      <c r="J4" t="s">
        <v>6</v>
      </c>
      <c r="L4" s="1">
        <v>87500000</v>
      </c>
      <c r="M4" s="1">
        <v>5212300</v>
      </c>
      <c r="N4" s="1">
        <f>AVERAGE(L4,M4)</f>
        <v>46356150</v>
      </c>
      <c r="O4" s="1">
        <f>STDEV(L4,M4)</f>
        <v>58186190.67824427</v>
      </c>
      <c r="P4">
        <f>(O4/N4)*100</f>
        <v>125.51989472431224</v>
      </c>
      <c r="R4">
        <v>0</v>
      </c>
      <c r="S4">
        <v>0</v>
      </c>
      <c r="T4" s="1">
        <f>AVERAGE(R4,S4)</f>
        <v>0</v>
      </c>
      <c r="U4" s="1">
        <f>STDEV(R4,S4)</f>
        <v>0</v>
      </c>
      <c r="V4" t="e">
        <f>(U4/T4)*M2100</f>
        <v>#DIV/0!</v>
      </c>
      <c r="W4">
        <f>T4/N4</f>
        <v>0</v>
      </c>
    </row>
    <row r="5" spans="1:23" x14ac:dyDescent="0.2">
      <c r="A5">
        <f t="shared" si="0"/>
        <v>1.0000000000000002E-3</v>
      </c>
      <c r="B5">
        <v>-9.965784284662087</v>
      </c>
      <c r="C5" t="s">
        <v>7</v>
      </c>
      <c r="D5" t="s">
        <v>8</v>
      </c>
      <c r="E5" t="s">
        <v>9</v>
      </c>
      <c r="F5" t="s">
        <v>8</v>
      </c>
      <c r="G5" t="s">
        <v>10</v>
      </c>
      <c r="H5" t="s">
        <v>11</v>
      </c>
      <c r="I5" t="s">
        <v>5</v>
      </c>
      <c r="J5" t="s">
        <v>6</v>
      </c>
      <c r="L5" s="1">
        <v>21778000</v>
      </c>
      <c r="M5" s="1">
        <v>34134000</v>
      </c>
      <c r="N5" s="1">
        <f>AVERAGE(L5,M5)</f>
        <v>27956000</v>
      </c>
      <c r="O5" s="1">
        <f t="shared" ref="O5:O19" si="1">STDEV(L5,M5)</f>
        <v>8737011.3883409817</v>
      </c>
      <c r="P5">
        <f>(O5/N5)*100</f>
        <v>31.252723523898201</v>
      </c>
      <c r="R5">
        <v>0</v>
      </c>
      <c r="S5">
        <v>0</v>
      </c>
      <c r="T5" s="1">
        <f t="shared" ref="T5:T8" si="2">AVERAGE(R5,S5)</f>
        <v>0</v>
      </c>
      <c r="U5" s="1">
        <f t="shared" ref="U5:U19" si="3">STDEV(R5,S5)</f>
        <v>0</v>
      </c>
      <c r="V5" t="e">
        <f t="shared" ref="V5:V8" si="4">(U5/T5)*100</f>
        <v>#DIV/0!</v>
      </c>
      <c r="W5">
        <f t="shared" ref="W5:W8" si="5">T5/N5</f>
        <v>0</v>
      </c>
    </row>
    <row r="6" spans="1:23" x14ac:dyDescent="0.2">
      <c r="A6">
        <f t="shared" si="0"/>
        <v>1.0000000000000002E-3</v>
      </c>
      <c r="B6">
        <v>-9.965784284662087</v>
      </c>
      <c r="C6" t="s">
        <v>17</v>
      </c>
      <c r="D6" t="s">
        <v>18</v>
      </c>
      <c r="E6" t="s">
        <v>19</v>
      </c>
      <c r="F6" t="s">
        <v>18</v>
      </c>
      <c r="G6" t="s">
        <v>20</v>
      </c>
      <c r="H6" t="s">
        <v>21</v>
      </c>
      <c r="I6" t="s">
        <v>5</v>
      </c>
      <c r="J6" t="s">
        <v>22</v>
      </c>
      <c r="L6" s="1">
        <v>1972600</v>
      </c>
      <c r="M6" s="1">
        <v>23627000</v>
      </c>
      <c r="N6" s="1">
        <f>AVERAGE(L6,M6)</f>
        <v>12799800</v>
      </c>
      <c r="O6" s="1">
        <f t="shared" si="1"/>
        <v>15311973.082525974</v>
      </c>
      <c r="P6">
        <f>(O6/N6)*100</f>
        <v>119.62665887377908</v>
      </c>
      <c r="R6">
        <v>0</v>
      </c>
      <c r="S6">
        <v>0</v>
      </c>
      <c r="T6" s="1">
        <f t="shared" si="2"/>
        <v>0</v>
      </c>
      <c r="U6" s="1">
        <f t="shared" si="3"/>
        <v>0</v>
      </c>
      <c r="V6" t="e">
        <f t="shared" si="4"/>
        <v>#DIV/0!</v>
      </c>
      <c r="W6">
        <f t="shared" si="5"/>
        <v>0</v>
      </c>
    </row>
    <row r="7" spans="1:23" x14ac:dyDescent="0.2">
      <c r="A7">
        <f t="shared" si="0"/>
        <v>6.9878865685366387E-2</v>
      </c>
      <c r="B7">
        <v>-3.839</v>
      </c>
      <c r="C7" t="s">
        <v>23</v>
      </c>
      <c r="D7" s="4" t="s">
        <v>24</v>
      </c>
      <c r="E7" t="s">
        <v>25</v>
      </c>
      <c r="F7" t="s">
        <v>24</v>
      </c>
      <c r="G7" t="s">
        <v>26</v>
      </c>
      <c r="H7" t="s">
        <v>27</v>
      </c>
      <c r="I7" t="s">
        <v>5</v>
      </c>
      <c r="J7" t="s">
        <v>28</v>
      </c>
      <c r="L7" s="1">
        <v>0</v>
      </c>
      <c r="M7" s="1">
        <v>44021000</v>
      </c>
      <c r="N7" s="1">
        <f t="shared" ref="N7:N8" si="6">AVERAGE(L7,M7)</f>
        <v>22010500</v>
      </c>
      <c r="O7" s="1">
        <f t="shared" si="1"/>
        <v>31127547.614613008</v>
      </c>
      <c r="R7">
        <v>0</v>
      </c>
      <c r="S7">
        <v>0</v>
      </c>
      <c r="T7" s="1">
        <f t="shared" si="2"/>
        <v>0</v>
      </c>
      <c r="U7" s="1">
        <f t="shared" si="3"/>
        <v>0</v>
      </c>
      <c r="V7" t="e">
        <f t="shared" si="4"/>
        <v>#DIV/0!</v>
      </c>
      <c r="W7">
        <f t="shared" si="5"/>
        <v>0</v>
      </c>
    </row>
    <row r="8" spans="1:23" x14ac:dyDescent="0.2">
      <c r="A8">
        <f t="shared" si="0"/>
        <v>0.13783364538361412</v>
      </c>
      <c r="B8">
        <v>-2.859</v>
      </c>
      <c r="C8" t="s">
        <v>29</v>
      </c>
      <c r="D8" s="2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5</v>
      </c>
      <c r="J8" t="s">
        <v>28</v>
      </c>
      <c r="L8" s="1">
        <v>47992000</v>
      </c>
      <c r="M8" s="1">
        <v>166620000</v>
      </c>
      <c r="N8" s="1">
        <f t="shared" si="6"/>
        <v>107306000</v>
      </c>
      <c r="O8" s="1">
        <f t="shared" si="1"/>
        <v>83882663.238597766</v>
      </c>
      <c r="P8">
        <f t="shared" ref="P8" si="7">(O8/N8)*100</f>
        <v>78.171456618080782</v>
      </c>
      <c r="R8" s="1">
        <v>27796000</v>
      </c>
      <c r="S8" s="3">
        <v>1783800</v>
      </c>
      <c r="T8" s="1">
        <f t="shared" si="2"/>
        <v>14789900</v>
      </c>
      <c r="U8" s="1">
        <f t="shared" si="3"/>
        <v>18393403.01358071</v>
      </c>
      <c r="V8">
        <f t="shared" si="4"/>
        <v>124.36462054226676</v>
      </c>
      <c r="W8">
        <f t="shared" si="5"/>
        <v>0.13782919874005181</v>
      </c>
    </row>
    <row r="9" spans="1:23" x14ac:dyDescent="0.2">
      <c r="A9" s="4">
        <f t="shared" si="0"/>
        <v>0.1958742967373352</v>
      </c>
      <c r="B9">
        <v>-2.3519999999999999</v>
      </c>
      <c r="C9" t="s">
        <v>36</v>
      </c>
      <c r="D9" s="2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5</v>
      </c>
      <c r="J9" t="s">
        <v>28</v>
      </c>
      <c r="L9" s="1">
        <v>1825300000</v>
      </c>
      <c r="M9" s="1">
        <v>1647300000</v>
      </c>
      <c r="N9" s="1">
        <f t="shared" ref="N9" si="8">AVERAGE(L9,M9)</f>
        <v>1736300000</v>
      </c>
      <c r="O9" s="1">
        <f t="shared" si="1"/>
        <v>125865007.05120546</v>
      </c>
      <c r="P9">
        <f t="shared" ref="P9" si="9">(O9/N9)*100</f>
        <v>7.2490357110640709</v>
      </c>
      <c r="R9" s="1">
        <v>525700000</v>
      </c>
      <c r="S9" s="1">
        <v>871220000</v>
      </c>
      <c r="T9" s="1">
        <f t="shared" ref="T9" si="10">AVERAGE(R9,S9)</f>
        <v>698460000</v>
      </c>
      <c r="U9" s="1">
        <f t="shared" si="3"/>
        <v>244319535.0355759</v>
      </c>
      <c r="V9">
        <f t="shared" ref="V9" si="11">(U9/T9)*100</f>
        <v>34.979746160922012</v>
      </c>
      <c r="W9" s="4">
        <f t="shared" ref="W9" si="12">T9/N9</f>
        <v>0.40226919311178944</v>
      </c>
    </row>
    <row r="10" spans="1:23" x14ac:dyDescent="0.2">
      <c r="A10" s="4">
        <f t="shared" si="0"/>
        <v>0.25052040126990821</v>
      </c>
      <c r="B10">
        <v>-1.9970000000000001</v>
      </c>
      <c r="C10" t="s">
        <v>42</v>
      </c>
      <c r="D10" s="4" t="s">
        <v>43</v>
      </c>
      <c r="E10" t="s">
        <v>44</v>
      </c>
      <c r="F10" t="s">
        <v>43</v>
      </c>
      <c r="G10" t="s">
        <v>45</v>
      </c>
      <c r="H10" t="s">
        <v>46</v>
      </c>
      <c r="I10" t="s">
        <v>5</v>
      </c>
      <c r="J10" t="s">
        <v>47</v>
      </c>
      <c r="L10" s="1">
        <v>0</v>
      </c>
      <c r="M10" s="1">
        <v>552530000</v>
      </c>
      <c r="N10" s="1">
        <f t="shared" ref="N10:N11" si="13">AVERAGE(L10,M10)</f>
        <v>276265000</v>
      </c>
      <c r="O10" s="1">
        <f t="shared" si="1"/>
        <v>390697709.80900311</v>
      </c>
      <c r="P10">
        <f t="shared" ref="P10:P11" si="14">(O10/N10)*100</f>
        <v>141.42135623730951</v>
      </c>
      <c r="R10" s="8">
        <v>0</v>
      </c>
      <c r="S10" s="6">
        <v>312970000</v>
      </c>
      <c r="T10" s="1">
        <f t="shared" ref="T10:T11" si="15">AVERAGE(R10,S10)</f>
        <v>156485000</v>
      </c>
      <c r="U10" s="1">
        <f t="shared" si="3"/>
        <v>221303209.30795377</v>
      </c>
      <c r="V10">
        <f t="shared" ref="V10:V11" si="16">(U10/T10)*100</f>
        <v>141.42135623730948</v>
      </c>
      <c r="W10" s="4">
        <f t="shared" ref="W10:W11" si="17">T10/N10</f>
        <v>0.56643078203898434</v>
      </c>
    </row>
    <row r="11" spans="1:23" x14ac:dyDescent="0.2">
      <c r="A11">
        <f t="shared" si="0"/>
        <v>0.32286433757558375</v>
      </c>
      <c r="B11">
        <v>-1.631</v>
      </c>
      <c r="C11" t="s">
        <v>48</v>
      </c>
      <c r="D11" s="2" t="s">
        <v>49</v>
      </c>
      <c r="E11" t="s">
        <v>50</v>
      </c>
      <c r="F11" t="s">
        <v>49</v>
      </c>
      <c r="G11" t="s">
        <v>51</v>
      </c>
      <c r="I11" t="s">
        <v>5</v>
      </c>
      <c r="J11" t="s">
        <v>6</v>
      </c>
      <c r="L11" s="1">
        <v>54831000</v>
      </c>
      <c r="M11" s="1">
        <v>56247000</v>
      </c>
      <c r="N11" s="1">
        <f t="shared" si="13"/>
        <v>55539000</v>
      </c>
      <c r="O11" s="1">
        <f t="shared" si="1"/>
        <v>1001263.2021601513</v>
      </c>
      <c r="P11">
        <f t="shared" si="14"/>
        <v>1.8028110015667393</v>
      </c>
      <c r="R11">
        <v>26257000</v>
      </c>
      <c r="S11">
        <v>9599600</v>
      </c>
      <c r="T11" s="1">
        <f t="shared" si="15"/>
        <v>17928300</v>
      </c>
      <c r="U11" s="1">
        <f t="shared" si="3"/>
        <v>11778560.496936796</v>
      </c>
      <c r="V11">
        <f t="shared" si="16"/>
        <v>65.698144815385703</v>
      </c>
      <c r="W11">
        <f t="shared" si="17"/>
        <v>0.32280559606762815</v>
      </c>
    </row>
    <row r="12" spans="1:23" x14ac:dyDescent="0.2">
      <c r="A12" s="4">
        <f t="shared" si="0"/>
        <v>0.33704193293426421</v>
      </c>
      <c r="B12">
        <v>-1.569</v>
      </c>
      <c r="C12" t="s">
        <v>52</v>
      </c>
      <c r="D12" s="4" t="s">
        <v>53</v>
      </c>
      <c r="E12" t="s">
        <v>54</v>
      </c>
      <c r="F12" t="s">
        <v>53</v>
      </c>
      <c r="G12" t="s">
        <v>55</v>
      </c>
      <c r="H12" t="s">
        <v>56</v>
      </c>
      <c r="I12" t="s">
        <v>5</v>
      </c>
      <c r="J12" t="s">
        <v>22</v>
      </c>
      <c r="L12" s="1">
        <v>16575000000</v>
      </c>
      <c r="M12" s="1">
        <v>45560000000</v>
      </c>
      <c r="N12" s="1">
        <f t="shared" ref="N12" si="18">AVERAGE(L12,M12)</f>
        <v>31067500000</v>
      </c>
      <c r="O12" s="1">
        <f t="shared" si="1"/>
        <v>20495490052.692081</v>
      </c>
      <c r="P12">
        <f t="shared" ref="P12" si="19">(O12/N12)*100</f>
        <v>65.970837861727148</v>
      </c>
      <c r="R12" s="1">
        <v>19871000000</v>
      </c>
      <c r="S12" s="1">
        <v>54053000000</v>
      </c>
      <c r="T12" s="1">
        <f t="shared" ref="T12" si="20">AVERAGE(R12,S12)</f>
        <v>36962000000</v>
      </c>
      <c r="U12" s="1">
        <f t="shared" si="3"/>
        <v>24170323994.518562</v>
      </c>
      <c r="V12">
        <f t="shared" ref="V12" si="21">(U12/T12)*100</f>
        <v>65.392359705964395</v>
      </c>
      <c r="W12" s="4">
        <f t="shared" ref="W12" si="22">T12/N12</f>
        <v>1.1897320350848959</v>
      </c>
    </row>
    <row r="13" spans="1:23" x14ac:dyDescent="0.2">
      <c r="A13">
        <f t="shared" si="0"/>
        <v>0.36399738724977165</v>
      </c>
      <c r="B13">
        <v>-1.458</v>
      </c>
      <c r="C13" t="s">
        <v>57</v>
      </c>
      <c r="D13" t="s">
        <v>58</v>
      </c>
      <c r="E13" t="s">
        <v>59</v>
      </c>
      <c r="F13" t="s">
        <v>58</v>
      </c>
      <c r="G13" t="s">
        <v>60</v>
      </c>
      <c r="H13" t="s">
        <v>61</v>
      </c>
      <c r="I13" t="s">
        <v>5</v>
      </c>
      <c r="J13" t="s">
        <v>6</v>
      </c>
      <c r="L13" s="1">
        <v>25757000</v>
      </c>
      <c r="M13" s="1">
        <v>852050000</v>
      </c>
      <c r="N13" s="1">
        <f t="shared" ref="N13" si="23">AVERAGE(L13,M13)</f>
        <v>438903500</v>
      </c>
      <c r="O13" s="1">
        <f t="shared" si="1"/>
        <v>584277383.54697585</v>
      </c>
      <c r="P13">
        <f t="shared" ref="P13" si="24">(O13/N13)*100</f>
        <v>133.12206066868364</v>
      </c>
      <c r="R13" s="1">
        <v>9920500</v>
      </c>
      <c r="S13" s="1">
        <v>309610000</v>
      </c>
      <c r="T13" s="1">
        <f t="shared" ref="T13" si="25">AVERAGE(R13,S13)</f>
        <v>159765250</v>
      </c>
      <c r="U13" s="1">
        <f t="shared" si="3"/>
        <v>211912477.70040584</v>
      </c>
      <c r="V13">
        <f t="shared" ref="V13" si="26">(U13/T13)*100</f>
        <v>132.63990617509492</v>
      </c>
      <c r="W13">
        <f t="shared" ref="W13" si="27">T13/N13</f>
        <v>0.36400997030098869</v>
      </c>
    </row>
    <row r="14" spans="1:23" x14ac:dyDescent="0.2">
      <c r="A14">
        <f t="shared" si="0"/>
        <v>0.36703765900852581</v>
      </c>
      <c r="B14">
        <v>-1.446</v>
      </c>
      <c r="C14" t="s">
        <v>62</v>
      </c>
      <c r="D14" t="s">
        <v>63</v>
      </c>
      <c r="E14" t="s">
        <v>64</v>
      </c>
      <c r="F14" t="s">
        <v>63</v>
      </c>
      <c r="G14" t="s">
        <v>65</v>
      </c>
      <c r="H14" t="s">
        <v>66</v>
      </c>
      <c r="I14" t="s">
        <v>5</v>
      </c>
      <c r="J14" t="s">
        <v>22</v>
      </c>
      <c r="L14" s="1">
        <v>37325000</v>
      </c>
      <c r="M14" s="1">
        <v>59368000</v>
      </c>
      <c r="N14" s="1">
        <f t="shared" ref="N14" si="28">AVERAGE(L14,M14)</f>
        <v>48346500</v>
      </c>
      <c r="O14" s="1">
        <f t="shared" si="1"/>
        <v>15586754.777695067</v>
      </c>
      <c r="P14">
        <f t="shared" ref="P14" si="29">(O14/N14)*100</f>
        <v>32.239675628422056</v>
      </c>
      <c r="R14" s="1">
        <v>11954000</v>
      </c>
      <c r="S14" s="1">
        <v>23547000</v>
      </c>
      <c r="T14" s="1">
        <f t="shared" ref="T14" si="30">AVERAGE(R14,S14)</f>
        <v>17750500</v>
      </c>
      <c r="U14" s="1">
        <f t="shared" si="3"/>
        <v>8197488.9142956454</v>
      </c>
      <c r="V14">
        <f t="shared" ref="V14" si="31">(U14/T14)*100</f>
        <v>46.181735242926372</v>
      </c>
      <c r="W14">
        <f t="shared" ref="W14" si="32">T14/N14</f>
        <v>0.36715170694879673</v>
      </c>
    </row>
    <row r="15" spans="1:23" x14ac:dyDescent="0.2">
      <c r="A15">
        <f t="shared" si="0"/>
        <v>0.37709501917164473</v>
      </c>
      <c r="B15">
        <v>-1.407</v>
      </c>
      <c r="C15" t="s">
        <v>67</v>
      </c>
      <c r="D15" s="2" t="s">
        <v>68</v>
      </c>
      <c r="E15" t="s">
        <v>69</v>
      </c>
      <c r="F15" t="s">
        <v>68</v>
      </c>
      <c r="G15" t="s">
        <v>70</v>
      </c>
      <c r="I15" t="s">
        <v>5</v>
      </c>
      <c r="J15" t="s">
        <v>6</v>
      </c>
      <c r="L15" s="1">
        <v>156460000</v>
      </c>
      <c r="M15" s="1">
        <v>111500000</v>
      </c>
      <c r="N15" s="1">
        <f t="shared" ref="N15" si="33">AVERAGE(L15,M15)</f>
        <v>133980000</v>
      </c>
      <c r="O15" s="1">
        <f t="shared" si="1"/>
        <v>31791520.882147178</v>
      </c>
      <c r="P15">
        <f t="shared" ref="P15" si="34">(O15/N15)*100</f>
        <v>23.728557159387357</v>
      </c>
      <c r="R15" s="1">
        <v>68394000</v>
      </c>
      <c r="S15" s="1">
        <v>32641000</v>
      </c>
      <c r="T15" s="1">
        <f>AVERAGE(R15,S15)</f>
        <v>50517500</v>
      </c>
      <c r="U15" s="1">
        <f t="shared" si="3"/>
        <v>25281188.747762635</v>
      </c>
      <c r="V15">
        <f>(U15/T15)*100</f>
        <v>50.044417771589323</v>
      </c>
      <c r="W15">
        <f>T15/N15</f>
        <v>0.37705254515599346</v>
      </c>
    </row>
    <row r="16" spans="1:23" x14ac:dyDescent="0.2">
      <c r="A16" s="4">
        <f t="shared" si="0"/>
        <v>0.38608756654589249</v>
      </c>
      <c r="B16">
        <v>-1.373</v>
      </c>
      <c r="C16" t="s">
        <v>77</v>
      </c>
      <c r="D16" t="s">
        <v>78</v>
      </c>
      <c r="E16" t="s">
        <v>79</v>
      </c>
      <c r="F16" t="s">
        <v>78</v>
      </c>
      <c r="G16" t="s">
        <v>80</v>
      </c>
      <c r="H16" t="s">
        <v>81</v>
      </c>
      <c r="I16" t="s">
        <v>5</v>
      </c>
      <c r="J16" t="s">
        <v>47</v>
      </c>
      <c r="L16" s="1">
        <v>31530000</v>
      </c>
      <c r="M16" s="1">
        <v>86515000</v>
      </c>
      <c r="N16" s="1">
        <f t="shared" ref="N16" si="35">AVERAGE(L16,M16)</f>
        <v>59022500</v>
      </c>
      <c r="O16" s="1">
        <f t="shared" si="1"/>
        <v>38880266.363542318</v>
      </c>
      <c r="P16">
        <f t="shared" ref="P16" si="36">(O16/N16)*100</f>
        <v>65.873635246799651</v>
      </c>
      <c r="R16" s="1">
        <v>27253000</v>
      </c>
      <c r="S16" s="1">
        <v>28046000</v>
      </c>
      <c r="T16" s="1">
        <f>AVERAGE(R16,S16)</f>
        <v>27649500</v>
      </c>
      <c r="U16" s="1">
        <f t="shared" si="3"/>
        <v>560735.67748093221</v>
      </c>
      <c r="V16">
        <f>(U16/T16)*100</f>
        <v>2.0280138066906535</v>
      </c>
      <c r="W16" s="4">
        <f>T16/N16</f>
        <v>0.46845694438561564</v>
      </c>
    </row>
    <row r="17" spans="1:23" x14ac:dyDescent="0.2">
      <c r="A17" s="4">
        <f t="shared" si="0"/>
        <v>0.41151017263935408</v>
      </c>
      <c r="B17">
        <v>-1.2809999999999999</v>
      </c>
      <c r="C17" t="s">
        <v>82</v>
      </c>
      <c r="D17" t="s">
        <v>83</v>
      </c>
      <c r="E17" t="s">
        <v>84</v>
      </c>
      <c r="F17" t="s">
        <v>83</v>
      </c>
      <c r="G17" t="s">
        <v>85</v>
      </c>
      <c r="H17" t="s">
        <v>86</v>
      </c>
      <c r="I17" t="s">
        <v>5</v>
      </c>
      <c r="J17" t="s">
        <v>22</v>
      </c>
      <c r="L17" s="1">
        <v>12842000</v>
      </c>
      <c r="M17" s="1">
        <v>5373500</v>
      </c>
      <c r="N17" s="1">
        <f t="shared" ref="N17" si="37">AVERAGE(L17,M17)</f>
        <v>9107750</v>
      </c>
      <c r="O17" s="1">
        <f t="shared" si="1"/>
        <v>5281026.9952917304</v>
      </c>
      <c r="P17">
        <f t="shared" ref="P17" si="38">(O17/N17)*100</f>
        <v>57.983881807161261</v>
      </c>
      <c r="R17" s="1">
        <v>7495800</v>
      </c>
      <c r="S17" s="8">
        <v>0</v>
      </c>
      <c r="T17" s="1">
        <f>AVERAGE(R17,S17)</f>
        <v>3747900</v>
      </c>
      <c r="U17" s="1">
        <f t="shared" si="3"/>
        <v>5300331.0104181226</v>
      </c>
      <c r="V17">
        <f>(U17/T17)*100</f>
        <v>141.42135623730948</v>
      </c>
      <c r="W17" s="4">
        <f>T17/N17</f>
        <v>0.41150668386813427</v>
      </c>
    </row>
    <row r="18" spans="1:23" x14ac:dyDescent="0.2">
      <c r="A18">
        <f t="shared" si="0"/>
        <v>0.49723508433660718</v>
      </c>
      <c r="B18">
        <v>-1.008</v>
      </c>
      <c r="C18" t="s">
        <v>88</v>
      </c>
      <c r="D18" t="s">
        <v>89</v>
      </c>
      <c r="E18" t="s">
        <v>90</v>
      </c>
      <c r="F18" t="s">
        <v>89</v>
      </c>
      <c r="G18" t="s">
        <v>91</v>
      </c>
      <c r="H18" t="s">
        <v>92</v>
      </c>
      <c r="I18" t="s">
        <v>5</v>
      </c>
      <c r="J18" t="s">
        <v>76</v>
      </c>
      <c r="L18" s="1">
        <v>2016300000</v>
      </c>
      <c r="M18" s="1">
        <v>1277900000</v>
      </c>
      <c r="N18" s="1">
        <f t="shared" ref="N18:N19" si="39">AVERAGE(L18,M18)</f>
        <v>1647100000</v>
      </c>
      <c r="O18" s="1">
        <f t="shared" si="1"/>
        <v>522127647.22814667</v>
      </c>
      <c r="P18">
        <f t="shared" ref="P18:P19" si="40">(O18/N18)*100</f>
        <v>31.699814657771029</v>
      </c>
      <c r="R18" s="1">
        <v>1333000000</v>
      </c>
      <c r="S18" s="1">
        <v>304740000</v>
      </c>
      <c r="T18" s="1">
        <f t="shared" ref="T18:T19" si="41">AVERAGE(R18,S18)</f>
        <v>818870000</v>
      </c>
      <c r="U18" s="1">
        <f t="shared" si="3"/>
        <v>727089618.82287931</v>
      </c>
      <c r="V18">
        <f t="shared" ref="V18:V19" si="42">(U18/T18)*100</f>
        <v>88.791825176509008</v>
      </c>
      <c r="W18">
        <f t="shared" ref="W18:W19" si="43">T18/N18</f>
        <v>0.49715864246250985</v>
      </c>
    </row>
    <row r="19" spans="1:23" x14ac:dyDescent="0.2">
      <c r="A19">
        <f t="shared" si="0"/>
        <v>0.49896135949952541</v>
      </c>
      <c r="B19">
        <v>-1.0029999999999999</v>
      </c>
      <c r="C19" t="s">
        <v>93</v>
      </c>
      <c r="D19" s="2" t="s">
        <v>98</v>
      </c>
      <c r="E19" t="s">
        <v>95</v>
      </c>
      <c r="F19" t="s">
        <v>94</v>
      </c>
      <c r="G19" t="s">
        <v>96</v>
      </c>
      <c r="H19" t="s">
        <v>97</v>
      </c>
      <c r="I19" t="s">
        <v>5</v>
      </c>
      <c r="J19" t="s">
        <v>28</v>
      </c>
      <c r="L19" s="1">
        <v>8919200</v>
      </c>
      <c r="M19" s="1">
        <v>1405500000</v>
      </c>
      <c r="N19" s="1">
        <f t="shared" si="39"/>
        <v>707209600</v>
      </c>
      <c r="O19" s="1">
        <f t="shared" si="1"/>
        <v>987531754.15493345</v>
      </c>
      <c r="P19">
        <f t="shared" si="40"/>
        <v>139.63777558377791</v>
      </c>
      <c r="R19" s="1">
        <v>6494600</v>
      </c>
      <c r="S19" s="1">
        <v>699340000</v>
      </c>
      <c r="T19" s="1">
        <f t="shared" si="41"/>
        <v>352917300</v>
      </c>
      <c r="U19" s="1">
        <f t="shared" si="3"/>
        <v>489915680.65390599</v>
      </c>
      <c r="V19">
        <f t="shared" si="42"/>
        <v>138.81883394605649</v>
      </c>
      <c r="W19">
        <f t="shared" si="43"/>
        <v>0.49902786953118283</v>
      </c>
    </row>
    <row r="20" spans="1:23" x14ac:dyDescent="0.2">
      <c r="A20">
        <f t="shared" si="0"/>
        <v>1.4927783832969528</v>
      </c>
      <c r="B20">
        <v>0.57799999999999996</v>
      </c>
      <c r="C20" t="s">
        <v>99</v>
      </c>
      <c r="D20" t="s">
        <v>100</v>
      </c>
      <c r="E20" t="s">
        <v>101</v>
      </c>
      <c r="F20" t="s">
        <v>100</v>
      </c>
      <c r="G20" t="s">
        <v>102</v>
      </c>
      <c r="H20" t="s">
        <v>103</v>
      </c>
      <c r="I20" t="s">
        <v>5</v>
      </c>
      <c r="J20" t="s">
        <v>6</v>
      </c>
      <c r="L20" s="1">
        <v>2943700000</v>
      </c>
      <c r="M20" s="1">
        <v>3183100000</v>
      </c>
      <c r="N20" s="1">
        <f t="shared" ref="N20:N21" si="44">AVERAGE(L20,M20)</f>
        <v>3063400000</v>
      </c>
      <c r="O20" s="1">
        <f t="shared" ref="O20:O21" si="45">STDEV(L20,M20)</f>
        <v>169281363.41605946</v>
      </c>
      <c r="P20">
        <f t="shared" ref="P20:P21" si="46">(O20/N20)*100</f>
        <v>5.5259307767859065</v>
      </c>
      <c r="R20" s="1">
        <v>3501900000</v>
      </c>
      <c r="S20" s="1">
        <v>5644500000</v>
      </c>
      <c r="T20" s="1">
        <f t="shared" ref="T20:T21" si="47">AVERAGE(R20,S20)</f>
        <v>4573200000</v>
      </c>
      <c r="U20" s="1">
        <f t="shared" ref="U20:U21" si="48">STDEV(R20,S20)</f>
        <v>1515046989.370296</v>
      </c>
      <c r="V20">
        <f t="shared" ref="V20:V21" si="49">(U20/T20)*100</f>
        <v>33.128815476478088</v>
      </c>
      <c r="W20">
        <f t="shared" ref="W20:W21" si="50">T20/N20</f>
        <v>1.4928510804987922</v>
      </c>
    </row>
    <row r="21" spans="1:23" x14ac:dyDescent="0.2">
      <c r="A21">
        <f t="shared" si="0"/>
        <v>1.525201653256284</v>
      </c>
      <c r="B21">
        <v>0.60899999999999999</v>
      </c>
      <c r="C21" t="s">
        <v>104</v>
      </c>
      <c r="D21" t="s">
        <v>105</v>
      </c>
      <c r="E21" t="s">
        <v>106</v>
      </c>
      <c r="F21" t="s">
        <v>105</v>
      </c>
      <c r="G21" t="s">
        <v>107</v>
      </c>
      <c r="H21" t="s">
        <v>108</v>
      </c>
      <c r="I21" t="s">
        <v>5</v>
      </c>
      <c r="J21" t="s">
        <v>6</v>
      </c>
      <c r="L21" s="1">
        <v>14487000</v>
      </c>
      <c r="M21" s="1">
        <v>11895000</v>
      </c>
      <c r="N21" s="1">
        <f t="shared" si="44"/>
        <v>13191000</v>
      </c>
      <c r="O21" s="1">
        <f t="shared" si="45"/>
        <v>1832820.7768355312</v>
      </c>
      <c r="P21">
        <f t="shared" si="46"/>
        <v>13.894479393795248</v>
      </c>
      <c r="R21" s="1">
        <v>32591000</v>
      </c>
      <c r="S21" s="1">
        <v>7637100</v>
      </c>
      <c r="T21" s="1">
        <f t="shared" si="47"/>
        <v>20114050</v>
      </c>
      <c r="U21" s="1">
        <f t="shared" si="48"/>
        <v>17645071.90705099</v>
      </c>
      <c r="V21">
        <f t="shared" si="49"/>
        <v>87.725107111949058</v>
      </c>
      <c r="W21">
        <f t="shared" si="50"/>
        <v>1.5248313243878402</v>
      </c>
    </row>
    <row r="22" spans="1:23" x14ac:dyDescent="0.2">
      <c r="A22">
        <f t="shared" si="0"/>
        <v>1.5422108254079407</v>
      </c>
      <c r="B22">
        <v>0.625</v>
      </c>
      <c r="C22" t="s">
        <v>109</v>
      </c>
      <c r="D22" t="s">
        <v>110</v>
      </c>
      <c r="E22" t="s">
        <v>111</v>
      </c>
      <c r="F22" t="s">
        <v>110</v>
      </c>
      <c r="G22" t="s">
        <v>112</v>
      </c>
      <c r="H22" t="s">
        <v>113</v>
      </c>
      <c r="I22" t="s">
        <v>5</v>
      </c>
      <c r="J22" t="s">
        <v>22</v>
      </c>
      <c r="L22" s="1">
        <v>5435100000</v>
      </c>
      <c r="M22" s="1">
        <v>3233100000</v>
      </c>
      <c r="N22" s="1">
        <f t="shared" ref="N22" si="51">AVERAGE(L22,M22)</f>
        <v>4334100000</v>
      </c>
      <c r="O22" s="1">
        <f t="shared" ref="O22" si="52">STDEV(L22,M22)</f>
        <v>1557049132.1727777</v>
      </c>
      <c r="P22">
        <f t="shared" ref="P22" si="53">(O22/N22)*100</f>
        <v>35.925546991827083</v>
      </c>
      <c r="R22" s="1">
        <v>7786600000</v>
      </c>
      <c r="S22" s="1">
        <v>5583700000</v>
      </c>
      <c r="T22" s="1">
        <f t="shared" ref="T22" si="54">AVERAGE(R22,S22)</f>
        <v>6685150000</v>
      </c>
      <c r="U22" s="1">
        <f t="shared" ref="U22" si="55">STDEV(R22,S22)</f>
        <v>1557685528.2758453</v>
      </c>
      <c r="V22">
        <f t="shared" ref="V22" si="56">(U22/T22)*100</f>
        <v>23.300681783891839</v>
      </c>
      <c r="W22">
        <f t="shared" ref="W22" si="57">T22/N22</f>
        <v>1.5424540273643894</v>
      </c>
    </row>
    <row r="23" spans="1:23" x14ac:dyDescent="0.2">
      <c r="A23">
        <f t="shared" si="0"/>
        <v>1.5594096852226467</v>
      </c>
      <c r="B23">
        <v>0.64100000000000001</v>
      </c>
      <c r="C23" t="s">
        <v>114</v>
      </c>
      <c r="D23" t="s">
        <v>115</v>
      </c>
      <c r="E23" t="s">
        <v>116</v>
      </c>
      <c r="F23" t="s">
        <v>115</v>
      </c>
      <c r="G23" t="s">
        <v>117</v>
      </c>
      <c r="H23" t="s">
        <v>118</v>
      </c>
      <c r="I23" t="s">
        <v>5</v>
      </c>
      <c r="J23" t="s">
        <v>47</v>
      </c>
      <c r="L23" s="1"/>
      <c r="M23" s="1"/>
      <c r="N23" s="1"/>
      <c r="O23" s="1"/>
      <c r="R23" s="1"/>
      <c r="S23" s="1"/>
      <c r="T23" s="1"/>
      <c r="U23" s="1"/>
    </row>
    <row r="24" spans="1:23" x14ac:dyDescent="0.2">
      <c r="A24">
        <f t="shared" si="0"/>
        <v>1.6043623327049727</v>
      </c>
      <c r="B24">
        <v>0.68200000000000005</v>
      </c>
      <c r="C24" t="s">
        <v>119</v>
      </c>
      <c r="D24" t="s">
        <v>120</v>
      </c>
      <c r="E24" t="s">
        <v>121</v>
      </c>
      <c r="F24" t="s">
        <v>120</v>
      </c>
      <c r="G24" t="s">
        <v>122</v>
      </c>
      <c r="I24" t="s">
        <v>5</v>
      </c>
      <c r="J24" t="s">
        <v>22</v>
      </c>
      <c r="L24" s="1"/>
      <c r="M24" s="1"/>
      <c r="N24" s="1"/>
      <c r="O24" s="1"/>
      <c r="R24" s="1"/>
      <c r="S24" s="1"/>
      <c r="T24" s="1"/>
      <c r="U24" s="1"/>
    </row>
    <row r="25" spans="1:23" x14ac:dyDescent="0.2">
      <c r="A25">
        <f t="shared" si="0"/>
        <v>1.6099322752422436</v>
      </c>
      <c r="B25">
        <v>0.68700000000000006</v>
      </c>
      <c r="C25" t="s">
        <v>123</v>
      </c>
      <c r="D25" t="s">
        <v>124</v>
      </c>
      <c r="E25" t="s">
        <v>125</v>
      </c>
      <c r="F25" t="s">
        <v>124</v>
      </c>
      <c r="G25" t="s">
        <v>126</v>
      </c>
      <c r="H25" t="s">
        <v>127</v>
      </c>
      <c r="I25" t="s">
        <v>5</v>
      </c>
      <c r="J25" t="s">
        <v>47</v>
      </c>
      <c r="L25" s="1"/>
      <c r="M25" s="1"/>
      <c r="N25" s="1"/>
      <c r="O25" s="1"/>
      <c r="R25" s="1"/>
      <c r="S25" s="1"/>
      <c r="T25" s="1"/>
      <c r="U25" s="1"/>
    </row>
    <row r="26" spans="1:23" x14ac:dyDescent="0.2">
      <c r="A26">
        <f t="shared" si="0"/>
        <v>1.6312749866780192</v>
      </c>
      <c r="B26">
        <v>0.70599999999999996</v>
      </c>
      <c r="C26" t="s">
        <v>128</v>
      </c>
      <c r="D26" t="s">
        <v>129</v>
      </c>
      <c r="E26" t="s">
        <v>130</v>
      </c>
      <c r="F26" t="s">
        <v>129</v>
      </c>
      <c r="G26" t="s">
        <v>131</v>
      </c>
      <c r="H26" t="s">
        <v>97</v>
      </c>
      <c r="I26" t="s">
        <v>5</v>
      </c>
      <c r="J26" t="s">
        <v>22</v>
      </c>
      <c r="L26" s="1"/>
      <c r="M26" s="1"/>
      <c r="N26" s="1"/>
      <c r="O26" s="1"/>
      <c r="R26" s="1"/>
      <c r="S26" s="1"/>
      <c r="T26" s="1"/>
      <c r="U26" s="1"/>
    </row>
    <row r="27" spans="1:23" x14ac:dyDescent="0.2">
      <c r="L27" s="1"/>
      <c r="M27" s="1"/>
      <c r="N27" s="1"/>
      <c r="O27" s="1"/>
      <c r="R27" s="1"/>
      <c r="S27" s="1"/>
      <c r="T27" s="1"/>
      <c r="U27" s="1"/>
    </row>
    <row r="28" spans="1:23" x14ac:dyDescent="0.2">
      <c r="L28" s="1"/>
      <c r="M28" s="1"/>
      <c r="N28" s="1"/>
      <c r="O28" s="1"/>
      <c r="R28" s="1"/>
      <c r="S28" s="1"/>
      <c r="T28" s="1"/>
      <c r="U28" s="1"/>
    </row>
    <row r="29" spans="1:23" x14ac:dyDescent="0.2">
      <c r="L29" s="1"/>
      <c r="M29" s="1"/>
      <c r="N29" s="1"/>
      <c r="O29" s="1"/>
      <c r="R29" s="1"/>
      <c r="S29" s="1"/>
      <c r="T29" s="1"/>
      <c r="U29" s="1"/>
    </row>
    <row r="30" spans="1:23" x14ac:dyDescent="0.2">
      <c r="L30" s="1"/>
      <c r="M30" s="1"/>
      <c r="N30" s="1"/>
      <c r="O30" s="1"/>
      <c r="R30" s="1"/>
      <c r="S30" s="1"/>
      <c r="T30" s="1"/>
      <c r="U30" s="1"/>
    </row>
    <row r="31" spans="1:23" x14ac:dyDescent="0.2">
      <c r="L31" s="1"/>
      <c r="M31" s="1"/>
      <c r="N31" s="1"/>
      <c r="O31" s="1"/>
      <c r="R31" s="1"/>
      <c r="S31" s="1"/>
      <c r="T31" s="1"/>
      <c r="U31" s="1"/>
    </row>
    <row r="32" spans="1:23" x14ac:dyDescent="0.2">
      <c r="A32">
        <f t="shared" ref="A32:A34" si="58">2^B32</f>
        <v>2.223758315034214</v>
      </c>
      <c r="B32">
        <v>1.153</v>
      </c>
      <c r="C32" t="s">
        <v>208</v>
      </c>
      <c r="D32" t="s">
        <v>209</v>
      </c>
      <c r="E32" t="s">
        <v>210</v>
      </c>
      <c r="F32" t="s">
        <v>209</v>
      </c>
      <c r="G32" t="s">
        <v>211</v>
      </c>
      <c r="H32" t="s">
        <v>212</v>
      </c>
      <c r="I32" t="s">
        <v>5</v>
      </c>
      <c r="J32" t="s">
        <v>6</v>
      </c>
      <c r="L32" s="1">
        <v>39062000</v>
      </c>
      <c r="M32" s="1">
        <v>346550000</v>
      </c>
      <c r="N32" s="1">
        <f>AVERAGE(L32,M32)</f>
        <v>192806000</v>
      </c>
      <c r="O32" s="1">
        <f>STDEV(L32,M32)</f>
        <v>217426849.93348911</v>
      </c>
      <c r="P32">
        <f t="shared" ref="P32:P36" si="59">(O32/N32)*100</f>
        <v>112.76975298148871</v>
      </c>
      <c r="R32" s="7">
        <v>518900000</v>
      </c>
      <c r="S32" s="7">
        <v>338400000</v>
      </c>
      <c r="T32" s="1">
        <f>AVERAGE(R32,S32)</f>
        <v>428650000</v>
      </c>
      <c r="U32" s="1">
        <f>STDEV(R32,S32)</f>
        <v>127632774.00417183</v>
      </c>
      <c r="V32">
        <f>(U32/T32)*100</f>
        <v>29.775521755318284</v>
      </c>
      <c r="W32">
        <f>T32/N32</f>
        <v>2.2232191944234101</v>
      </c>
    </row>
    <row r="33" spans="1:23" x14ac:dyDescent="0.2">
      <c r="A33">
        <f t="shared" si="58"/>
        <v>2.2704842042921292</v>
      </c>
      <c r="B33">
        <v>1.1830000000000001</v>
      </c>
      <c r="C33" t="s">
        <v>213</v>
      </c>
      <c r="D33" t="s">
        <v>214</v>
      </c>
      <c r="E33" t="s">
        <v>215</v>
      </c>
      <c r="F33" t="s">
        <v>214</v>
      </c>
      <c r="G33" t="s">
        <v>216</v>
      </c>
      <c r="H33" t="s">
        <v>217</v>
      </c>
      <c r="I33" t="s">
        <v>5</v>
      </c>
      <c r="J33" t="s">
        <v>22</v>
      </c>
      <c r="L33" s="1">
        <v>137170000</v>
      </c>
      <c r="M33" s="1">
        <v>42460000</v>
      </c>
      <c r="N33" s="1">
        <f>AVERAGE(L33,M33)</f>
        <v>89815000</v>
      </c>
      <c r="O33" s="1">
        <f>STDEV(L33,M33)</f>
        <v>66970083.246177919</v>
      </c>
      <c r="P33">
        <f t="shared" si="59"/>
        <v>74.564475027754739</v>
      </c>
      <c r="R33" s="7">
        <v>267240000</v>
      </c>
      <c r="S33" s="7">
        <v>140480000</v>
      </c>
      <c r="T33" s="1">
        <f>AVERAGE(R33,S33)</f>
        <v>203860000</v>
      </c>
      <c r="U33" s="1">
        <f>STDEV(R33,S33)</f>
        <v>89632855.583206758</v>
      </c>
      <c r="V33">
        <f>(U33/T33)*100</f>
        <v>43.967848319045792</v>
      </c>
      <c r="W33">
        <f>T33/N33</f>
        <v>2.2697767633468797</v>
      </c>
    </row>
    <row r="34" spans="1:23" x14ac:dyDescent="0.2">
      <c r="A34">
        <f t="shared" si="58"/>
        <v>2.2704842042921292</v>
      </c>
      <c r="B34">
        <v>1.1830000000000001</v>
      </c>
      <c r="C34" t="s">
        <v>218</v>
      </c>
      <c r="D34" t="s">
        <v>219</v>
      </c>
      <c r="E34" t="s">
        <v>220</v>
      </c>
      <c r="F34" t="s">
        <v>219</v>
      </c>
      <c r="G34" t="s">
        <v>221</v>
      </c>
      <c r="I34" t="s">
        <v>5</v>
      </c>
      <c r="J34" t="s">
        <v>22</v>
      </c>
      <c r="L34" s="1">
        <v>4781100000</v>
      </c>
      <c r="M34" s="1">
        <v>10367000000</v>
      </c>
      <c r="N34" s="1">
        <f t="shared" ref="N34:N36" si="60">AVERAGE(L34,M34)</f>
        <v>7574050000</v>
      </c>
      <c r="O34" s="1">
        <f t="shared" ref="O34:O36" si="61">STDEV(L34,M34)</f>
        <v>3949827769.0299358</v>
      </c>
      <c r="P34">
        <f t="shared" si="59"/>
        <v>52.149481044222526</v>
      </c>
      <c r="R34" s="7">
        <v>5800700000</v>
      </c>
      <c r="S34" s="7">
        <v>28591000000</v>
      </c>
      <c r="T34" s="1">
        <f t="shared" ref="T34:T36" si="62">AVERAGE(R34,S34)</f>
        <v>17195850000</v>
      </c>
      <c r="U34" s="1">
        <f t="shared" ref="U34:U36" si="63">STDEV(R34,S34)</f>
        <v>16115175675.275776</v>
      </c>
      <c r="V34">
        <f t="shared" ref="V34:V36" si="64">(U34/T34)*100</f>
        <v>93.715493420073898</v>
      </c>
      <c r="W34">
        <f t="shared" ref="W34:W36" si="65">T34/N34</f>
        <v>2.2703639400320834</v>
      </c>
    </row>
    <row r="35" spans="1:23" x14ac:dyDescent="0.2">
      <c r="A35">
        <f t="shared" ref="A35" si="66">2^B35</f>
        <v>2.2989896960693539</v>
      </c>
      <c r="B35">
        <v>1.2010000000000001</v>
      </c>
      <c r="C35" t="s">
        <v>204</v>
      </c>
      <c r="D35" t="s">
        <v>205</v>
      </c>
      <c r="E35" t="s">
        <v>206</v>
      </c>
      <c r="F35" t="s">
        <v>205</v>
      </c>
      <c r="G35" t="s">
        <v>207</v>
      </c>
      <c r="I35" t="s">
        <v>5</v>
      </c>
      <c r="J35" t="s">
        <v>22</v>
      </c>
      <c r="L35" s="1">
        <v>222530000</v>
      </c>
      <c r="M35" s="1">
        <v>820200000</v>
      </c>
      <c r="N35" s="1">
        <f t="shared" si="60"/>
        <v>521365000</v>
      </c>
      <c r="O35" s="1">
        <f t="shared" si="61"/>
        <v>422616509.91176385</v>
      </c>
      <c r="P35">
        <f t="shared" si="59"/>
        <v>81.059624238635863</v>
      </c>
      <c r="R35" s="7">
        <v>183100000</v>
      </c>
      <c r="S35" s="7">
        <v>2214900000</v>
      </c>
      <c r="T35" s="1">
        <f t="shared" si="62"/>
        <v>1199000000</v>
      </c>
      <c r="U35" s="1">
        <f t="shared" si="63"/>
        <v>1436699558.0148273</v>
      </c>
      <c r="V35">
        <f t="shared" si="64"/>
        <v>119.82481718222078</v>
      </c>
      <c r="W35">
        <f t="shared" si="65"/>
        <v>2.2997324331322586</v>
      </c>
    </row>
    <row r="36" spans="1:23" x14ac:dyDescent="0.2">
      <c r="A36">
        <f t="shared" ref="A36" si="67">2^B36</f>
        <v>2.3294671729369116</v>
      </c>
      <c r="B36">
        <v>1.22</v>
      </c>
      <c r="C36" t="s">
        <v>199</v>
      </c>
      <c r="D36" t="s">
        <v>200</v>
      </c>
      <c r="E36" t="s">
        <v>201</v>
      </c>
      <c r="F36" t="s">
        <v>200</v>
      </c>
      <c r="G36" t="s">
        <v>202</v>
      </c>
      <c r="H36" t="s">
        <v>203</v>
      </c>
      <c r="I36" t="s">
        <v>5</v>
      </c>
      <c r="J36" t="s">
        <v>22</v>
      </c>
      <c r="L36" s="1">
        <v>202230000</v>
      </c>
      <c r="M36" s="1">
        <v>56622000</v>
      </c>
      <c r="N36" s="1">
        <f t="shared" si="60"/>
        <v>129426000</v>
      </c>
      <c r="O36" s="1">
        <f t="shared" si="61"/>
        <v>102960404.19501081</v>
      </c>
      <c r="P36">
        <f t="shared" si="59"/>
        <v>79.551561660725682</v>
      </c>
      <c r="R36" s="7">
        <v>410920000</v>
      </c>
      <c r="S36" s="7">
        <v>191940000</v>
      </c>
      <c r="T36" s="1">
        <f t="shared" si="62"/>
        <v>301430000</v>
      </c>
      <c r="U36" s="1">
        <f t="shared" si="63"/>
        <v>154842242.94423017</v>
      </c>
      <c r="V36">
        <f t="shared" si="64"/>
        <v>51.369221027844006</v>
      </c>
      <c r="W36">
        <f t="shared" si="65"/>
        <v>2.3289756308624234</v>
      </c>
    </row>
    <row r="37" spans="1:23" x14ac:dyDescent="0.2">
      <c r="A37">
        <f t="shared" ref="A37" si="68">2^B37</f>
        <v>2.3521825005819297</v>
      </c>
      <c r="B37">
        <v>1.234</v>
      </c>
      <c r="C37" t="s">
        <v>194</v>
      </c>
      <c r="D37" s="4" t="s">
        <v>195</v>
      </c>
      <c r="E37" t="s">
        <v>196</v>
      </c>
      <c r="F37" t="s">
        <v>195</v>
      </c>
      <c r="G37" t="s">
        <v>197</v>
      </c>
      <c r="H37" t="s">
        <v>198</v>
      </c>
      <c r="I37" t="s">
        <v>5</v>
      </c>
      <c r="J37" t="s">
        <v>47</v>
      </c>
      <c r="L37" s="1">
        <v>26430000</v>
      </c>
      <c r="M37" s="8">
        <v>0</v>
      </c>
      <c r="N37" s="1">
        <f t="shared" ref="N37:N39" si="69">AVERAGE(L37,M37)</f>
        <v>13215000</v>
      </c>
      <c r="O37" s="1">
        <f t="shared" ref="O37:O39" si="70">STDEV(L37,M37)</f>
        <v>18688832.226760451</v>
      </c>
      <c r="P37">
        <f t="shared" ref="P37:P39" si="71">(O37/N37)*100</f>
        <v>141.42135623730948</v>
      </c>
      <c r="R37" s="7">
        <v>42385000</v>
      </c>
      <c r="S37" s="7">
        <v>19778000</v>
      </c>
      <c r="T37" s="1">
        <f t="shared" ref="T37:T39" si="72">AVERAGE(R37,S37)</f>
        <v>31081500</v>
      </c>
      <c r="U37" s="1">
        <f t="shared" ref="U37:U39" si="73">STDEV(R37,S37)</f>
        <v>15985563.002284279</v>
      </c>
      <c r="V37">
        <f t="shared" ref="V37:V39" si="74">(U37/T37)*100</f>
        <v>51.431118196625903</v>
      </c>
      <c r="W37">
        <f t="shared" ref="W37:W39" si="75">T37/N37</f>
        <v>2.3519863791146425</v>
      </c>
    </row>
    <row r="38" spans="1:23" x14ac:dyDescent="0.2">
      <c r="A38" s="4">
        <f t="shared" ref="A38" si="76">2^B38</f>
        <v>2.5526575376579057</v>
      </c>
      <c r="B38">
        <v>1.3520000000000001</v>
      </c>
      <c r="C38" t="s">
        <v>188</v>
      </c>
      <c r="D38" t="s">
        <v>189</v>
      </c>
      <c r="E38" t="s">
        <v>190</v>
      </c>
      <c r="F38" t="s">
        <v>191</v>
      </c>
      <c r="G38" t="s">
        <v>192</v>
      </c>
      <c r="H38" t="s">
        <v>193</v>
      </c>
      <c r="I38" t="s">
        <v>5</v>
      </c>
      <c r="J38" t="s">
        <v>22</v>
      </c>
      <c r="L38" s="1">
        <v>17614000000</v>
      </c>
      <c r="M38" s="1">
        <v>22952000000</v>
      </c>
      <c r="N38" s="1">
        <f t="shared" si="69"/>
        <v>20283000000</v>
      </c>
      <c r="O38" s="1">
        <f t="shared" si="70"/>
        <v>3774535997.9737811</v>
      </c>
      <c r="P38">
        <f t="shared" si="71"/>
        <v>18.609357580110345</v>
      </c>
      <c r="R38" s="7">
        <v>24423000000</v>
      </c>
      <c r="S38" s="7">
        <v>21960000000</v>
      </c>
      <c r="T38" s="1">
        <f t="shared" si="72"/>
        <v>23191500000</v>
      </c>
      <c r="U38" s="1">
        <f t="shared" si="73"/>
        <v>1741604002.0624666</v>
      </c>
      <c r="V38">
        <f t="shared" si="74"/>
        <v>7.5096651879458713</v>
      </c>
      <c r="W38" s="4">
        <f t="shared" si="75"/>
        <v>1.1433959473450672</v>
      </c>
    </row>
    <row r="39" spans="1:23" x14ac:dyDescent="0.2">
      <c r="A39">
        <f t="shared" ref="A39" si="77">2^B39</f>
        <v>2.6629032264727415</v>
      </c>
      <c r="B39">
        <v>1.413</v>
      </c>
      <c r="C39" t="s">
        <v>183</v>
      </c>
      <c r="D39" t="s">
        <v>184</v>
      </c>
      <c r="E39" t="s">
        <v>185</v>
      </c>
      <c r="F39" t="s">
        <v>184</v>
      </c>
      <c r="G39" t="s">
        <v>186</v>
      </c>
      <c r="H39" t="s">
        <v>187</v>
      </c>
      <c r="I39" t="s">
        <v>5</v>
      </c>
      <c r="J39" t="s">
        <v>22</v>
      </c>
      <c r="L39" s="1">
        <v>23095000</v>
      </c>
      <c r="M39" s="1">
        <v>50856000</v>
      </c>
      <c r="N39" s="1">
        <f t="shared" si="69"/>
        <v>36975500</v>
      </c>
      <c r="O39" s="1">
        <f t="shared" si="70"/>
        <v>19629991.352519747</v>
      </c>
      <c r="P39">
        <f t="shared" si="71"/>
        <v>53.089184331570216</v>
      </c>
      <c r="R39" s="7">
        <v>126760000</v>
      </c>
      <c r="S39" s="7">
        <v>70218000</v>
      </c>
      <c r="T39" s="1">
        <f t="shared" si="72"/>
        <v>98489000</v>
      </c>
      <c r="U39" s="1">
        <f t="shared" si="73"/>
        <v>39981231.621849768</v>
      </c>
      <c r="V39">
        <f t="shared" si="74"/>
        <v>40.59461627374607</v>
      </c>
      <c r="W39">
        <f t="shared" si="75"/>
        <v>2.6636286189503862</v>
      </c>
    </row>
    <row r="40" spans="1:23" x14ac:dyDescent="0.2">
      <c r="A40">
        <f t="shared" ref="A40" si="78">2^B40</f>
        <v>3.2693413139531322</v>
      </c>
      <c r="B40">
        <v>1.7090000000000001</v>
      </c>
      <c r="C40" t="s">
        <v>178</v>
      </c>
      <c r="D40" s="4" t="s">
        <v>179</v>
      </c>
      <c r="E40" t="s">
        <v>180</v>
      </c>
      <c r="F40" t="s">
        <v>179</v>
      </c>
      <c r="G40" t="s">
        <v>181</v>
      </c>
      <c r="H40" t="s">
        <v>182</v>
      </c>
      <c r="I40" t="s">
        <v>5</v>
      </c>
      <c r="J40" t="s">
        <v>22</v>
      </c>
      <c r="L40" s="8">
        <v>0</v>
      </c>
      <c r="M40" s="5">
        <v>4266100</v>
      </c>
      <c r="N40" s="1">
        <f t="shared" ref="N40" si="79">AVERAGE(L40,M40)</f>
        <v>2133050</v>
      </c>
      <c r="O40" s="1">
        <f t="shared" ref="O40" si="80">STDEV(L40,M40)</f>
        <v>3016588.2392199305</v>
      </c>
      <c r="P40">
        <f t="shared" ref="P40" si="81">(O40/N40)*100</f>
        <v>141.42135623730951</v>
      </c>
      <c r="R40" s="7">
        <v>9570200</v>
      </c>
      <c r="S40" s="7">
        <v>4380300</v>
      </c>
      <c r="T40" s="1">
        <f t="shared" ref="T40" si="82">AVERAGE(R40,S40)</f>
        <v>6975250</v>
      </c>
      <c r="U40" s="1">
        <f t="shared" ref="U40" si="83">STDEV(R40,S40)</f>
        <v>3669813.4836800629</v>
      </c>
      <c r="V40">
        <f t="shared" ref="V40" si="84">(U40/T40)*100</f>
        <v>52.611927653920119</v>
      </c>
      <c r="W40">
        <f>T40/N40</f>
        <v>3.2700827453646188</v>
      </c>
    </row>
    <row r="41" spans="1:23" x14ac:dyDescent="0.2">
      <c r="A41">
        <f t="shared" ref="A41" si="85">2^B41</f>
        <v>3.3916798585325911</v>
      </c>
      <c r="B41">
        <v>1.762</v>
      </c>
      <c r="C41" t="s">
        <v>174</v>
      </c>
      <c r="D41" s="4" t="s">
        <v>175</v>
      </c>
      <c r="E41" t="s">
        <v>176</v>
      </c>
      <c r="F41" t="s">
        <v>175</v>
      </c>
      <c r="G41" t="s">
        <v>177</v>
      </c>
      <c r="I41" t="s">
        <v>5</v>
      </c>
      <c r="J41" t="s">
        <v>22</v>
      </c>
      <c r="L41" s="8">
        <v>0</v>
      </c>
      <c r="M41" s="7">
        <v>148290000</v>
      </c>
      <c r="N41" s="1">
        <f t="shared" ref="N41" si="86">AVERAGE(L41,M41)</f>
        <v>74145000</v>
      </c>
      <c r="O41" s="1">
        <f t="shared" ref="O41" si="87">STDEV(L41,M41)</f>
        <v>104856864.58215313</v>
      </c>
      <c r="P41">
        <f t="shared" ref="P41" si="88">(O41/N41)*100</f>
        <v>141.42135623730948</v>
      </c>
      <c r="R41" s="7">
        <v>251200000</v>
      </c>
      <c r="S41" s="7">
        <v>251840000</v>
      </c>
      <c r="T41" s="1">
        <f t="shared" ref="T41" si="89">AVERAGE(R41,S41)</f>
        <v>251520000</v>
      </c>
      <c r="U41" s="1">
        <f t="shared" ref="U41" si="90">STDEV(R41,S41)</f>
        <v>452548.3399593904</v>
      </c>
      <c r="V41">
        <f t="shared" ref="V41" si="91">(U41/T41)*100</f>
        <v>0.17992538961489757</v>
      </c>
      <c r="W41">
        <f>T41/N41</f>
        <v>3.3922718996560794</v>
      </c>
    </row>
    <row r="42" spans="1:23" x14ac:dyDescent="0.2">
      <c r="A42">
        <f t="shared" ref="A42" si="92">2^B42</f>
        <v>3.4822022531844965</v>
      </c>
      <c r="B42">
        <v>1.8</v>
      </c>
      <c r="C42" t="s">
        <v>169</v>
      </c>
      <c r="D42" s="4" t="s">
        <v>170</v>
      </c>
      <c r="E42" t="s">
        <v>171</v>
      </c>
      <c r="F42" t="s">
        <v>170</v>
      </c>
      <c r="G42" t="s">
        <v>172</v>
      </c>
      <c r="H42" t="s">
        <v>173</v>
      </c>
      <c r="I42" t="s">
        <v>5</v>
      </c>
      <c r="J42" t="s">
        <v>22</v>
      </c>
      <c r="L42" s="8">
        <v>0</v>
      </c>
      <c r="M42" s="7">
        <v>663200000</v>
      </c>
      <c r="N42" s="1">
        <f t="shared" ref="N42" si="93">AVERAGE(L42,M42)</f>
        <v>331600000</v>
      </c>
      <c r="O42" s="1">
        <f t="shared" ref="O42" si="94">STDEV(L42,M42)</f>
        <v>468953217.28291833</v>
      </c>
      <c r="P42">
        <f t="shared" ref="P42" si="95">(O42/N42)*100</f>
        <v>141.42135623730951</v>
      </c>
      <c r="R42" s="7">
        <v>21871000</v>
      </c>
      <c r="S42" s="7">
        <v>2287300000</v>
      </c>
      <c r="T42" s="1">
        <f t="shared" ref="T42" si="96">AVERAGE(R42,S42)</f>
        <v>1154585500</v>
      </c>
      <c r="U42" s="1">
        <f t="shared" ref="U42" si="97">STDEV(R42,S42)</f>
        <v>1601900208.1966593</v>
      </c>
      <c r="V42">
        <f t="shared" ref="V42" si="98">(U42/T42)*100</f>
        <v>138.74244983993472</v>
      </c>
      <c r="W42">
        <f>T42/N42</f>
        <v>3.4818621833534378</v>
      </c>
    </row>
    <row r="43" spans="1:23" x14ac:dyDescent="0.2">
      <c r="A43">
        <f t="shared" ref="A43" si="99">2^B43</f>
        <v>3.5015653187770561</v>
      </c>
      <c r="B43">
        <v>1.8080000000000001</v>
      </c>
      <c r="C43" t="s">
        <v>165</v>
      </c>
      <c r="D43" t="s">
        <v>166</v>
      </c>
      <c r="E43" t="s">
        <v>167</v>
      </c>
      <c r="F43" t="s">
        <v>166</v>
      </c>
      <c r="G43" t="s">
        <v>168</v>
      </c>
      <c r="I43" t="s">
        <v>5</v>
      </c>
      <c r="J43" t="s">
        <v>22</v>
      </c>
      <c r="L43">
        <v>4642900</v>
      </c>
      <c r="M43" s="7">
        <v>95298000</v>
      </c>
      <c r="N43" s="1">
        <f t="shared" ref="N43:N49" si="100">AVERAGE(L43,M43)</f>
        <v>49970450</v>
      </c>
      <c r="O43" s="1">
        <f t="shared" ref="O43:O49" si="101">STDEV(L43,M43)</f>
        <v>64102835.959144585</v>
      </c>
      <c r="P43">
        <f t="shared" ref="P43:P49" si="102">(O43/N43)*100</f>
        <v>128.28148627667869</v>
      </c>
      <c r="R43" s="7">
        <v>22127000</v>
      </c>
      <c r="S43" s="7">
        <v>327920000</v>
      </c>
      <c r="T43" s="1">
        <f t="shared" ref="T43:T49" si="103">AVERAGE(R43,S43)</f>
        <v>175023500</v>
      </c>
      <c r="U43" s="1">
        <f t="shared" ref="U43:U49" si="104">STDEV(R43,S43)</f>
        <v>216228303.93937793</v>
      </c>
      <c r="V43">
        <f t="shared" ref="V43:V49" si="105">(U43/T43)*100</f>
        <v>123.54244083758921</v>
      </c>
      <c r="W43">
        <f t="shared" ref="W43:W49" si="106">T43/N43</f>
        <v>3.502540001140674</v>
      </c>
    </row>
    <row r="44" spans="1:23" x14ac:dyDescent="0.2">
      <c r="A44">
        <f t="shared" ref="A44" si="107">2^B44</f>
        <v>3.8583927383365531</v>
      </c>
      <c r="B44">
        <v>1.948</v>
      </c>
      <c r="C44" t="s">
        <v>160</v>
      </c>
      <c r="D44" s="4" t="s">
        <v>161</v>
      </c>
      <c r="E44" t="s">
        <v>162</v>
      </c>
      <c r="F44" t="s">
        <v>161</v>
      </c>
      <c r="G44" t="s">
        <v>163</v>
      </c>
      <c r="I44" t="s">
        <v>5</v>
      </c>
      <c r="J44" t="s">
        <v>22</v>
      </c>
      <c r="L44" s="8">
        <v>0</v>
      </c>
      <c r="M44" s="7">
        <v>76180000</v>
      </c>
      <c r="N44" s="1">
        <f t="shared" si="100"/>
        <v>38090000</v>
      </c>
      <c r="O44" s="1">
        <f t="shared" si="101"/>
        <v>53867394.590791188</v>
      </c>
      <c r="P44">
        <f t="shared" si="102"/>
        <v>141.42135623730948</v>
      </c>
      <c r="R44" s="7">
        <v>38392000</v>
      </c>
      <c r="S44" s="7">
        <v>255600000</v>
      </c>
      <c r="T44" s="1">
        <f t="shared" si="103"/>
        <v>146996000</v>
      </c>
      <c r="U44" s="1">
        <f t="shared" si="104"/>
        <v>153589249.72796762</v>
      </c>
      <c r="V44">
        <f t="shared" si="105"/>
        <v>104.48532594626224</v>
      </c>
      <c r="W44">
        <f t="shared" si="106"/>
        <v>3.8591756366500394</v>
      </c>
    </row>
    <row r="45" spans="1:23" x14ac:dyDescent="0.2">
      <c r="A45" s="4">
        <f t="shared" ref="A45" si="108">2^B45</f>
        <v>5.0982425092770489</v>
      </c>
      <c r="B45">
        <v>2.35</v>
      </c>
      <c r="C45" t="s">
        <v>154</v>
      </c>
      <c r="D45" t="s">
        <v>155</v>
      </c>
      <c r="E45" t="s">
        <v>156</v>
      </c>
      <c r="F45" t="s">
        <v>157</v>
      </c>
      <c r="G45" t="s">
        <v>158</v>
      </c>
      <c r="H45" t="s">
        <v>159</v>
      </c>
      <c r="I45" t="s">
        <v>5</v>
      </c>
      <c r="J45" t="s">
        <v>22</v>
      </c>
      <c r="L45" s="1">
        <v>2644700000</v>
      </c>
      <c r="M45" s="1">
        <v>5661500000</v>
      </c>
      <c r="N45" s="1">
        <f t="shared" si="100"/>
        <v>4153100000</v>
      </c>
      <c r="O45" s="1">
        <f t="shared" si="101"/>
        <v>2133199737.4835765</v>
      </c>
      <c r="P45">
        <f t="shared" si="102"/>
        <v>51.36403499755788</v>
      </c>
      <c r="R45" s="1">
        <v>10906000000</v>
      </c>
      <c r="S45" s="1">
        <v>2750900000</v>
      </c>
      <c r="T45" s="1">
        <f t="shared" si="103"/>
        <v>6828450000</v>
      </c>
      <c r="U45" s="1">
        <f t="shared" si="104"/>
        <v>5766526511.2544136</v>
      </c>
      <c r="V45">
        <f t="shared" si="105"/>
        <v>84.448542659819054</v>
      </c>
      <c r="W45" s="4">
        <f t="shared" si="106"/>
        <v>1.6441814548168838</v>
      </c>
    </row>
    <row r="46" spans="1:23" x14ac:dyDescent="0.2">
      <c r="A46">
        <f t="shared" ref="A46" si="109">2^B46</f>
        <v>6.6529767869992504</v>
      </c>
      <c r="B46">
        <v>2.734</v>
      </c>
      <c r="C46" t="s">
        <v>148</v>
      </c>
      <c r="D46" t="s">
        <v>149</v>
      </c>
      <c r="E46" t="s">
        <v>150</v>
      </c>
      <c r="F46" t="s">
        <v>151</v>
      </c>
      <c r="G46" t="s">
        <v>152</v>
      </c>
      <c r="H46" t="s">
        <v>153</v>
      </c>
      <c r="I46" t="s">
        <v>5</v>
      </c>
      <c r="J46" t="s">
        <v>22</v>
      </c>
      <c r="L46" s="1">
        <v>156370000</v>
      </c>
      <c r="M46" s="1">
        <v>53963000</v>
      </c>
      <c r="N46" s="1">
        <f t="shared" si="100"/>
        <v>105166500</v>
      </c>
      <c r="O46" s="1">
        <f t="shared" si="101"/>
        <v>72412684.140970767</v>
      </c>
      <c r="P46">
        <f t="shared" si="102"/>
        <v>68.855276291376782</v>
      </c>
      <c r="R46" s="1">
        <v>314990000</v>
      </c>
      <c r="S46" s="1">
        <v>1084200000</v>
      </c>
      <c r="T46" s="1">
        <f t="shared" si="103"/>
        <v>699595000</v>
      </c>
      <c r="U46" s="1">
        <f t="shared" si="104"/>
        <v>543913607.15650427</v>
      </c>
      <c r="V46">
        <f t="shared" si="105"/>
        <v>77.746926029560569</v>
      </c>
      <c r="W46">
        <f t="shared" si="106"/>
        <v>6.6522609386068758</v>
      </c>
    </row>
    <row r="47" spans="1:23" x14ac:dyDescent="0.2">
      <c r="A47">
        <f t="shared" ref="A47" si="110">2^B47</f>
        <v>8.2420316289605964</v>
      </c>
      <c r="B47">
        <v>3.0430000000000001</v>
      </c>
      <c r="C47" t="s">
        <v>143</v>
      </c>
      <c r="D47" s="4" t="s">
        <v>144</v>
      </c>
      <c r="E47" t="s">
        <v>145</v>
      </c>
      <c r="F47" t="s">
        <v>144</v>
      </c>
      <c r="G47" t="s">
        <v>146</v>
      </c>
      <c r="H47" t="s">
        <v>147</v>
      </c>
      <c r="I47" t="s">
        <v>5</v>
      </c>
      <c r="J47" t="s">
        <v>6</v>
      </c>
      <c r="L47" s="1">
        <v>34084000</v>
      </c>
      <c r="M47" s="8">
        <v>0</v>
      </c>
      <c r="N47" s="1">
        <f t="shared" si="100"/>
        <v>17042000</v>
      </c>
      <c r="O47" s="1">
        <f t="shared" si="101"/>
        <v>24101027.529962286</v>
      </c>
      <c r="P47">
        <f t="shared" si="102"/>
        <v>141.42135623730951</v>
      </c>
      <c r="R47" s="1">
        <v>121870000</v>
      </c>
      <c r="S47" s="1">
        <v>159050000</v>
      </c>
      <c r="T47" s="1">
        <f t="shared" si="103"/>
        <v>140460000</v>
      </c>
      <c r="U47" s="1">
        <f t="shared" si="104"/>
        <v>26290230.124515835</v>
      </c>
      <c r="V47">
        <f t="shared" si="105"/>
        <v>18.717236312484577</v>
      </c>
      <c r="W47">
        <f t="shared" si="106"/>
        <v>8.2419903767163483</v>
      </c>
    </row>
    <row r="48" spans="1:23" x14ac:dyDescent="0.2">
      <c r="A48" s="4">
        <f t="shared" ref="A48" si="111">2^B48</f>
        <v>12.906268147554021</v>
      </c>
      <c r="B48">
        <v>3.69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5</v>
      </c>
      <c r="J48" t="s">
        <v>22</v>
      </c>
      <c r="L48" s="1">
        <v>22614000</v>
      </c>
      <c r="M48" s="1">
        <v>2558200000</v>
      </c>
      <c r="N48" s="1">
        <f t="shared" si="100"/>
        <v>1290407000</v>
      </c>
      <c r="O48" s="1">
        <f t="shared" si="101"/>
        <v>1792930054.8816733</v>
      </c>
      <c r="P48">
        <f t="shared" si="102"/>
        <v>138.94298890828037</v>
      </c>
      <c r="R48" s="1">
        <v>87400000</v>
      </c>
      <c r="S48" s="1">
        <v>1105500000</v>
      </c>
      <c r="T48" s="1">
        <f t="shared" si="103"/>
        <v>596450000</v>
      </c>
      <c r="U48" s="1">
        <f t="shared" si="104"/>
        <v>719905413.92602408</v>
      </c>
      <c r="V48">
        <f t="shared" si="105"/>
        <v>120.69836766301016</v>
      </c>
      <c r="W48" s="4">
        <f t="shared" si="106"/>
        <v>0.46221850935402553</v>
      </c>
    </row>
    <row r="49" spans="1:23" x14ac:dyDescent="0.2">
      <c r="A49">
        <f t="shared" ref="A49" si="112">2^B49</f>
        <v>21.406840876577792</v>
      </c>
      <c r="B49">
        <v>4.42</v>
      </c>
      <c r="C49" t="s">
        <v>132</v>
      </c>
      <c r="D49" t="s">
        <v>133</v>
      </c>
      <c r="E49" t="s">
        <v>134</v>
      </c>
      <c r="F49" t="s">
        <v>133</v>
      </c>
      <c r="G49" t="s">
        <v>135</v>
      </c>
      <c r="H49" t="s">
        <v>136</v>
      </c>
      <c r="I49" t="s">
        <v>5</v>
      </c>
      <c r="J49" t="s">
        <v>22</v>
      </c>
      <c r="L49" s="1">
        <v>12124000</v>
      </c>
      <c r="M49" s="9">
        <v>0</v>
      </c>
      <c r="N49" s="1">
        <f t="shared" si="100"/>
        <v>6062000</v>
      </c>
      <c r="O49" s="1">
        <f t="shared" si="101"/>
        <v>8572962.6151057016</v>
      </c>
      <c r="P49">
        <f t="shared" si="102"/>
        <v>141.42135623730948</v>
      </c>
      <c r="R49" s="1">
        <v>117360000</v>
      </c>
      <c r="S49" s="1">
        <v>142110000</v>
      </c>
      <c r="T49" s="1">
        <f t="shared" si="103"/>
        <v>129735000</v>
      </c>
      <c r="U49" s="1">
        <f t="shared" si="104"/>
        <v>17500892.834367052</v>
      </c>
      <c r="V49">
        <f t="shared" si="105"/>
        <v>13.489723539805798</v>
      </c>
      <c r="W49">
        <f t="shared" si="106"/>
        <v>21.401352688881556</v>
      </c>
    </row>
    <row r="50" spans="1:23" x14ac:dyDescent="0.2">
      <c r="L50" s="1"/>
      <c r="M50" s="1"/>
      <c r="N50" s="1"/>
      <c r="O50" s="1"/>
      <c r="R50" s="1"/>
      <c r="S50" s="1"/>
      <c r="T50" s="1"/>
      <c r="U50" s="1"/>
    </row>
    <row r="51" spans="1:23" x14ac:dyDescent="0.2">
      <c r="A51" s="4">
        <f>2^B51</f>
        <v>0.37971792245363245</v>
      </c>
      <c r="B51">
        <v>-1.397</v>
      </c>
      <c r="C51" t="s">
        <v>71</v>
      </c>
      <c r="D51" s="2" t="s">
        <v>72</v>
      </c>
      <c r="E51" t="s">
        <v>73</v>
      </c>
      <c r="F51" t="s">
        <v>72</v>
      </c>
      <c r="G51" t="s">
        <v>74</v>
      </c>
      <c r="H51" t="s">
        <v>75</v>
      </c>
      <c r="I51" t="s">
        <v>5</v>
      </c>
      <c r="J51" t="s">
        <v>76</v>
      </c>
      <c r="L51" s="1">
        <v>108120000</v>
      </c>
      <c r="M51" s="1">
        <v>1435800000</v>
      </c>
      <c r="N51" s="1">
        <f t="shared" ref="N51" si="113">AVERAGE(L51,M51)</f>
        <v>771960000</v>
      </c>
      <c r="O51" s="1">
        <f t="shared" ref="O51" si="114">STDEV(L51:M51)</f>
        <v>938811531.24575543</v>
      </c>
      <c r="P51">
        <f t="shared" ref="P51" si="115">(O51/N51)*100</f>
        <v>121.61401254543701</v>
      </c>
      <c r="R51" s="1">
        <v>216950000</v>
      </c>
      <c r="S51" s="1">
        <v>1265200000</v>
      </c>
      <c r="T51" s="1">
        <f t="shared" ref="T51" si="116">AVERAGE(R51,S51)</f>
        <v>741075000</v>
      </c>
      <c r="U51" s="1">
        <f t="shared" ref="U51" si="117">STDEV(R51:S51)</f>
        <v>741224683.37879848</v>
      </c>
      <c r="V51">
        <f t="shared" ref="V51" si="118">(U51/T51)*100</f>
        <v>100.02019814172634</v>
      </c>
      <c r="W51" s="4">
        <f t="shared" ref="W51" si="119">T51/N51</f>
        <v>0.95999145033421418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William</dc:creator>
  <cp:lastModifiedBy>Shakik, Abrar</cp:lastModifiedBy>
  <dcterms:created xsi:type="dcterms:W3CDTF">2023-07-01T14:10:40Z</dcterms:created>
  <dcterms:modified xsi:type="dcterms:W3CDTF">2026-02-12T22:40:32Z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2023-07-01T14:40:02Z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1462fcc0-632e-4a23-b375-fdab825ea650</vt:lpwstr>
  </property>
  <property fmtid="{D5CDD505-2E9C-101B-9397-08002B2CF9AE}" pid="8" name="MSIP_Label_5e4b1be8-281e-475d-98b0-21c3457e5a46_ContentBits">
    <vt:lpwstr>0</vt:lpwstr>
  </property>
</Properties>
</file>